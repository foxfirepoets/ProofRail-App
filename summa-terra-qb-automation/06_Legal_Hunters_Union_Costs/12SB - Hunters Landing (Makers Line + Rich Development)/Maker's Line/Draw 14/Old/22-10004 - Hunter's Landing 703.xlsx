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fkt3Xe3wDSNU3-8StUP8qu7ATEJkGMI0\Summa Terra Ventures Company Folder\Projects\Utah\Hunter's Landing\Construction\Draws\Draw 14\"/>
    </mc:Choice>
  </mc:AlternateContent>
  <xr:revisionPtr revIDLastSave="0" documentId="13_ncr:1_{5C8E88F1-902D-4963-9F1A-A3420AE9CC6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" i="1" l="1"/>
  <c r="H75" i="1"/>
  <c r="H74" i="1"/>
  <c r="J74" i="1" s="1"/>
  <c r="H71" i="1"/>
  <c r="J71" i="1" s="1"/>
  <c r="H60" i="1"/>
  <c r="H46" i="1"/>
  <c r="H44" i="1"/>
  <c r="H42" i="1"/>
  <c r="H29" i="1"/>
  <c r="O58" i="1"/>
  <c r="O59" i="1"/>
  <c r="O61" i="1"/>
  <c r="O62" i="1"/>
  <c r="O63" i="1"/>
  <c r="O64" i="1"/>
  <c r="O65" i="1"/>
  <c r="O66" i="1"/>
  <c r="O67" i="1"/>
  <c r="O68" i="1"/>
  <c r="O69" i="1"/>
  <c r="O70" i="1"/>
  <c r="O72" i="1"/>
  <c r="O73" i="1"/>
  <c r="O77" i="1"/>
  <c r="O78" i="1"/>
  <c r="O79" i="1"/>
  <c r="O80" i="1"/>
  <c r="O81" i="1"/>
  <c r="O82" i="1"/>
  <c r="O83" i="1"/>
  <c r="O57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5" i="1"/>
  <c r="O47" i="1"/>
  <c r="O29" i="1"/>
  <c r="M58" i="1"/>
  <c r="M59" i="1"/>
  <c r="M61" i="1"/>
  <c r="M62" i="1"/>
  <c r="M63" i="1"/>
  <c r="M64" i="1"/>
  <c r="M65" i="1"/>
  <c r="M66" i="1"/>
  <c r="M67" i="1"/>
  <c r="M68" i="1"/>
  <c r="M69" i="1"/>
  <c r="M70" i="1"/>
  <c r="M72" i="1"/>
  <c r="M73" i="1"/>
  <c r="M77" i="1"/>
  <c r="M78" i="1"/>
  <c r="M79" i="1"/>
  <c r="M80" i="1"/>
  <c r="M81" i="1"/>
  <c r="M82" i="1"/>
  <c r="M83" i="1"/>
  <c r="M86" i="1"/>
  <c r="M87" i="1"/>
  <c r="M88" i="1"/>
  <c r="M89" i="1"/>
  <c r="M57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3" i="1"/>
  <c r="M45" i="1"/>
  <c r="M47" i="1"/>
  <c r="M10" i="1"/>
  <c r="J83" i="1"/>
  <c r="L83" i="1" s="1"/>
  <c r="J85" i="1"/>
  <c r="M85" i="1" s="1"/>
  <c r="J86" i="1"/>
  <c r="J87" i="1"/>
  <c r="J88" i="1"/>
  <c r="J89" i="1"/>
  <c r="L89" i="1" s="1"/>
  <c r="L58" i="1"/>
  <c r="L59" i="1"/>
  <c r="L61" i="1"/>
  <c r="L62" i="1"/>
  <c r="L63" i="1"/>
  <c r="L64" i="1"/>
  <c r="L66" i="1"/>
  <c r="L67" i="1"/>
  <c r="L68" i="1"/>
  <c r="L69" i="1"/>
  <c r="L70" i="1"/>
  <c r="L72" i="1"/>
  <c r="L73" i="1"/>
  <c r="L75" i="1"/>
  <c r="L77" i="1"/>
  <c r="L78" i="1"/>
  <c r="L79" i="1"/>
  <c r="L80" i="1"/>
  <c r="L81" i="1"/>
  <c r="L82" i="1"/>
  <c r="L86" i="1"/>
  <c r="L87" i="1"/>
  <c r="L88" i="1"/>
  <c r="L57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3" i="1"/>
  <c r="L45" i="1"/>
  <c r="L47" i="1"/>
  <c r="L10" i="1"/>
  <c r="J58" i="1"/>
  <c r="J59" i="1"/>
  <c r="J60" i="1"/>
  <c r="L60" i="1" s="1"/>
  <c r="J61" i="1"/>
  <c r="J62" i="1"/>
  <c r="J63" i="1"/>
  <c r="J64" i="1"/>
  <c r="J65" i="1"/>
  <c r="J66" i="1"/>
  <c r="J67" i="1"/>
  <c r="J68" i="1"/>
  <c r="J69" i="1"/>
  <c r="J70" i="1"/>
  <c r="J72" i="1"/>
  <c r="J73" i="1"/>
  <c r="J75" i="1"/>
  <c r="O75" i="1" s="1"/>
  <c r="J76" i="1"/>
  <c r="M76" i="1" s="1"/>
  <c r="J77" i="1"/>
  <c r="J78" i="1"/>
  <c r="J79" i="1"/>
  <c r="J80" i="1"/>
  <c r="J81" i="1"/>
  <c r="J82" i="1"/>
  <c r="J57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M42" i="1" s="1"/>
  <c r="J43" i="1"/>
  <c r="J44" i="1"/>
  <c r="M44" i="1" s="1"/>
  <c r="J45" i="1"/>
  <c r="J46" i="1"/>
  <c r="L46" i="1" s="1"/>
  <c r="J47" i="1"/>
  <c r="O76" i="1" l="1"/>
  <c r="L76" i="1"/>
  <c r="M75" i="1"/>
  <c r="L74" i="1"/>
  <c r="M74" i="1"/>
  <c r="O74" i="1"/>
  <c r="O71" i="1"/>
  <c r="O84" i="1" s="1"/>
  <c r="L71" i="1"/>
  <c r="M71" i="1"/>
  <c r="H84" i="1"/>
  <c r="J84" i="1" s="1"/>
  <c r="L84" i="1" s="1"/>
  <c r="O60" i="1"/>
  <c r="M60" i="1"/>
  <c r="O46" i="1"/>
  <c r="M46" i="1"/>
  <c r="L44" i="1"/>
  <c r="O44" i="1"/>
  <c r="L42" i="1"/>
  <c r="L85" i="1"/>
  <c r="M84" i="1" l="1"/>
</calcChain>
</file>

<file path=xl/sharedStrings.xml><?xml version="1.0" encoding="utf-8"?>
<sst xmlns="http://schemas.openxmlformats.org/spreadsheetml/2006/main" count="153" uniqueCount="110">
  <si>
    <r>
      <rPr>
        <b/>
        <sz val="15"/>
        <rFont val="Calibri"/>
        <family val="2"/>
      </rPr>
      <t>CONTINUATION SHEET</t>
    </r>
  </si>
  <si>
    <r>
      <rPr>
        <i/>
        <sz val="10"/>
        <rFont val="Calibri"/>
        <family val="2"/>
      </rPr>
      <t>AIA DOCUMENT G703</t>
    </r>
  </si>
  <si>
    <r>
      <rPr>
        <sz val="5"/>
        <rFont val="Calibri"/>
        <family val="2"/>
      </rPr>
      <t>PAGE 2</t>
    </r>
  </si>
  <si>
    <r>
      <rPr>
        <sz val="7.5"/>
        <rFont val="Calibri"/>
        <family val="2"/>
      </rPr>
      <t>AIA Document G702, APPLICATION AND CERTIFICATION FOR PAYMENT, containing</t>
    </r>
  </si>
  <si>
    <r>
      <rPr>
        <sz val="8"/>
        <rFont val="Calibri"/>
        <family val="2"/>
      </rPr>
      <t>APPLICATION #:</t>
    </r>
  </si>
  <si>
    <r>
      <rPr>
        <sz val="7.5"/>
        <rFont val="Calibri"/>
        <family val="2"/>
      </rPr>
      <t>Contractor's signed certification is attached.</t>
    </r>
  </si>
  <si>
    <r>
      <rPr>
        <sz val="8"/>
        <rFont val="Calibri"/>
        <family val="2"/>
      </rPr>
      <t>APPLICATION DATE:</t>
    </r>
  </si>
  <si>
    <r>
      <rPr>
        <sz val="8"/>
        <rFont val="Calibri"/>
        <family val="2"/>
      </rPr>
      <t>01/00/00</t>
    </r>
  </si>
  <si>
    <r>
      <rPr>
        <sz val="7.5"/>
        <rFont val="Calibri"/>
        <family val="2"/>
      </rPr>
      <t>In tabulations below, amounts are stated to the nearest dollar.</t>
    </r>
  </si>
  <si>
    <r>
      <rPr>
        <sz val="8"/>
        <rFont val="Calibri"/>
        <family val="2"/>
      </rPr>
      <t>PERIOD TO:</t>
    </r>
  </si>
  <si>
    <r>
      <rPr>
        <sz val="7.5"/>
        <rFont val="Calibri"/>
        <family val="2"/>
      </rPr>
      <t xml:space="preserve">Use Column I on Contracts where variable retainage for line items may apply.                                                                                                                                                                                </t>
    </r>
    <r>
      <rPr>
        <sz val="8"/>
        <rFont val="Calibri"/>
        <family val="2"/>
      </rPr>
      <t>ARCHITECT'S PROJECT #:  22-10004</t>
    </r>
  </si>
  <si>
    <r>
      <rPr>
        <sz val="6.5"/>
        <rFont val="Calibri"/>
        <family val="2"/>
      </rPr>
      <t>A</t>
    </r>
  </si>
  <si>
    <r>
      <rPr>
        <sz val="6.5"/>
        <rFont val="Calibri"/>
        <family val="2"/>
      </rPr>
      <t>B</t>
    </r>
  </si>
  <si>
    <r>
      <rPr>
        <sz val="6.5"/>
        <rFont val="Calibri"/>
        <family val="2"/>
      </rPr>
      <t>C</t>
    </r>
  </si>
  <si>
    <r>
      <rPr>
        <sz val="6.5"/>
        <rFont val="Calibri"/>
        <family val="2"/>
      </rPr>
      <t>D</t>
    </r>
  </si>
  <si>
    <r>
      <rPr>
        <sz val="6.5"/>
        <rFont val="Calibri"/>
        <family val="2"/>
      </rPr>
      <t>E</t>
    </r>
  </si>
  <si>
    <r>
      <rPr>
        <sz val="6.5"/>
        <rFont val="Calibri"/>
        <family val="2"/>
      </rPr>
      <t>F</t>
    </r>
  </si>
  <si>
    <r>
      <rPr>
        <sz val="6.5"/>
        <rFont val="Calibri"/>
        <family val="2"/>
      </rPr>
      <t>G</t>
    </r>
  </si>
  <si>
    <r>
      <rPr>
        <sz val="6.5"/>
        <rFont val="Calibri"/>
        <family val="2"/>
      </rPr>
      <t>H</t>
    </r>
  </si>
  <si>
    <r>
      <rPr>
        <sz val="6.5"/>
        <rFont val="Calibri"/>
        <family val="2"/>
      </rPr>
      <t>I</t>
    </r>
  </si>
  <si>
    <r>
      <rPr>
        <sz val="6.5"/>
        <rFont val="Calibri"/>
        <family val="2"/>
      </rPr>
      <t>ITEM</t>
    </r>
  </si>
  <si>
    <r>
      <rPr>
        <sz val="6.5"/>
        <rFont val="Calibri"/>
        <family val="2"/>
      </rPr>
      <t>SCHEDULED VALUE</t>
    </r>
  </si>
  <si>
    <r>
      <rPr>
        <sz val="6.5"/>
        <rFont val="Calibri"/>
        <family val="2"/>
      </rPr>
      <t>WORK COMPLETED</t>
    </r>
  </si>
  <si>
    <r>
      <rPr>
        <sz val="6.5"/>
        <rFont val="Calibri"/>
        <family val="2"/>
      </rPr>
      <t>MATERIALS</t>
    </r>
  </si>
  <si>
    <r>
      <rPr>
        <sz val="6.5"/>
        <rFont val="Calibri"/>
        <family val="2"/>
      </rPr>
      <t>TOTAL</t>
    </r>
  </si>
  <si>
    <r>
      <rPr>
        <sz val="6.5"/>
        <rFont val="Calibri"/>
        <family val="2"/>
      </rPr>
      <t>%</t>
    </r>
  </si>
  <si>
    <r>
      <rPr>
        <sz val="6.5"/>
        <rFont val="Calibri"/>
        <family val="2"/>
      </rPr>
      <t>BALANCE</t>
    </r>
  </si>
  <si>
    <r>
      <rPr>
        <sz val="6.5"/>
        <rFont val="Calibri"/>
        <family val="2"/>
      </rPr>
      <t>RETAINAGE</t>
    </r>
  </si>
  <si>
    <r>
      <rPr>
        <sz val="6.5"/>
        <rFont val="Calibri"/>
        <family val="2"/>
      </rPr>
      <t>#</t>
    </r>
  </si>
  <si>
    <r>
      <rPr>
        <sz val="6.5"/>
        <rFont val="Calibri"/>
        <family val="2"/>
      </rPr>
      <t>DESCRIPTION OF WORK</t>
    </r>
  </si>
  <si>
    <r>
      <rPr>
        <sz val="6.5"/>
        <rFont val="Calibri"/>
        <family val="2"/>
      </rPr>
      <t>ORIGINAL</t>
    </r>
  </si>
  <si>
    <r>
      <rPr>
        <sz val="6.5"/>
        <rFont val="Calibri"/>
        <family val="2"/>
      </rPr>
      <t>CHANGE ORDERS</t>
    </r>
  </si>
  <si>
    <r>
      <rPr>
        <sz val="6.5"/>
        <rFont val="Calibri"/>
        <family val="2"/>
      </rPr>
      <t>CURRENT</t>
    </r>
  </si>
  <si>
    <r>
      <rPr>
        <sz val="6.5"/>
        <rFont val="Calibri"/>
        <family val="2"/>
      </rPr>
      <t xml:space="preserve">FROM PREVIOUS
</t>
    </r>
    <r>
      <rPr>
        <sz val="6.5"/>
        <rFont val="Calibri"/>
        <family val="2"/>
      </rPr>
      <t>APPLICATION</t>
    </r>
  </si>
  <si>
    <r>
      <rPr>
        <sz val="6.5"/>
        <rFont val="Calibri"/>
        <family val="2"/>
      </rPr>
      <t>THIS PERIOD</t>
    </r>
  </si>
  <si>
    <r>
      <rPr>
        <sz val="6.5"/>
        <rFont val="Calibri"/>
        <family val="2"/>
      </rPr>
      <t xml:space="preserve">PRESENTLY
</t>
    </r>
    <r>
      <rPr>
        <sz val="6.5"/>
        <rFont val="Calibri"/>
        <family val="2"/>
      </rPr>
      <t>STORED</t>
    </r>
  </si>
  <si>
    <r>
      <rPr>
        <sz val="6.5"/>
        <rFont val="Calibri"/>
        <family val="2"/>
      </rPr>
      <t xml:space="preserve">COMPLETED
</t>
    </r>
    <r>
      <rPr>
        <sz val="6.5"/>
        <rFont val="Calibri"/>
        <family val="2"/>
      </rPr>
      <t>AND STORED</t>
    </r>
  </si>
  <si>
    <r>
      <rPr>
        <sz val="6.5"/>
        <rFont val="Calibri"/>
        <family val="2"/>
      </rPr>
      <t>COMPLETE</t>
    </r>
  </si>
  <si>
    <r>
      <rPr>
        <sz val="6.5"/>
        <rFont val="Calibri"/>
        <family val="2"/>
      </rPr>
      <t>TO FINISH</t>
    </r>
  </si>
  <si>
    <r>
      <rPr>
        <sz val="6.5"/>
        <rFont val="Calibri"/>
        <family val="2"/>
      </rPr>
      <t>TO DATE</t>
    </r>
  </si>
  <si>
    <r>
      <rPr>
        <sz val="7.5"/>
        <rFont val="Calibri"/>
        <family val="2"/>
      </rPr>
      <t>01-0010 - Overhead</t>
    </r>
  </si>
  <si>
    <r>
      <rPr>
        <sz val="7.5"/>
        <rFont val="Calibri"/>
        <family val="2"/>
      </rPr>
      <t>01-0020 - General Conditions</t>
    </r>
  </si>
  <si>
    <r>
      <rPr>
        <sz val="7.5"/>
        <rFont val="Calibri"/>
        <family val="2"/>
      </rPr>
      <t>01-0030 - General Requirements</t>
    </r>
  </si>
  <si>
    <r>
      <rPr>
        <sz val="7.5"/>
        <rFont val="Calibri"/>
        <family val="2"/>
      </rPr>
      <t>01-0040 - Mobilization</t>
    </r>
  </si>
  <si>
    <r>
      <rPr>
        <sz val="7.5"/>
        <rFont val="Calibri"/>
        <family val="2"/>
      </rPr>
      <t>01-0750 - Final Clean Up</t>
    </r>
  </si>
  <si>
    <r>
      <rPr>
        <sz val="7.5"/>
        <rFont val="Calibri"/>
        <family val="2"/>
      </rPr>
      <t>01-1470 - Temporary Weather Protection</t>
    </r>
  </si>
  <si>
    <r>
      <rPr>
        <sz val="7.5"/>
        <rFont val="Calibri"/>
        <family val="2"/>
      </rPr>
      <t>01-0670 - Equipment Rental</t>
    </r>
  </si>
  <si>
    <r>
      <rPr>
        <sz val="7.5"/>
        <rFont val="Calibri"/>
        <family val="2"/>
      </rPr>
      <t>01-1130 - Security</t>
    </r>
  </si>
  <si>
    <r>
      <rPr>
        <sz val="7.5"/>
        <rFont val="Calibri"/>
        <family val="2"/>
      </rPr>
      <t>01-1390 - Termporary Power - Billing</t>
    </r>
  </si>
  <si>
    <r>
      <rPr>
        <sz val="7.5"/>
        <rFont val="Calibri"/>
        <family val="2"/>
      </rPr>
      <t>01-1430 - Temporary Toilets</t>
    </r>
  </si>
  <si>
    <r>
      <rPr>
        <sz val="7.5"/>
        <rFont val="Calibri"/>
        <family val="2"/>
      </rPr>
      <t>02-0150 - Erosion Control SWPPP</t>
    </r>
  </si>
  <si>
    <r>
      <rPr>
        <sz val="7.5"/>
        <rFont val="Calibri"/>
        <family val="2"/>
      </rPr>
      <t>02-0290 - On-Site Demolition</t>
    </r>
  </si>
  <si>
    <r>
      <rPr>
        <sz val="7.5"/>
        <rFont val="Calibri"/>
        <family val="2"/>
      </rPr>
      <t>03-0020 - Cast In Place Concrete</t>
    </r>
  </si>
  <si>
    <r>
      <rPr>
        <sz val="7.5"/>
        <rFont val="Calibri"/>
        <family val="2"/>
      </rPr>
      <t>03-0230 - Concrete Insulation</t>
    </r>
  </si>
  <si>
    <r>
      <rPr>
        <sz val="7.5"/>
        <rFont val="Calibri"/>
        <family val="2"/>
      </rPr>
      <t>03-0330 - Gypsum Concrete</t>
    </r>
  </si>
  <si>
    <r>
      <rPr>
        <sz val="7.5"/>
        <rFont val="Calibri"/>
        <family val="2"/>
      </rPr>
      <t>03-0350 - Anchor Bolts</t>
    </r>
  </si>
  <si>
    <r>
      <rPr>
        <sz val="7.5"/>
        <rFont val="Calibri"/>
        <family val="2"/>
      </rPr>
      <t>03-0600 - Concree Curb &amp; Sidewalk</t>
    </r>
  </si>
  <si>
    <r>
      <rPr>
        <sz val="7.5"/>
        <rFont val="Calibri"/>
        <family val="2"/>
      </rPr>
      <t>04-0030 - Masonry</t>
    </r>
  </si>
  <si>
    <r>
      <rPr>
        <sz val="7.5"/>
        <rFont val="Calibri"/>
        <family val="2"/>
      </rPr>
      <t>05-0090 - Metal Framing</t>
    </r>
  </si>
  <si>
    <r>
      <rPr>
        <sz val="7.5"/>
        <rFont val="Calibri"/>
        <family val="2"/>
      </rPr>
      <t>06-0010 - Arch Wood Work (Cabinetry)</t>
    </r>
  </si>
  <si>
    <r>
      <rPr>
        <sz val="7.5"/>
        <rFont val="Calibri"/>
        <family val="2"/>
      </rPr>
      <t>06-0030 - Countertops</t>
    </r>
  </si>
  <si>
    <r>
      <rPr>
        <sz val="7.5"/>
        <rFont val="Calibri"/>
        <family val="2"/>
      </rPr>
      <t>06-0090 - Finish Carpentry - Interiors</t>
    </r>
  </si>
  <si>
    <r>
      <rPr>
        <sz val="7.5"/>
        <rFont val="Calibri"/>
        <family val="2"/>
      </rPr>
      <t>06-0170 - Rough Carpentry</t>
    </r>
  </si>
  <si>
    <r>
      <rPr>
        <sz val="7.5"/>
        <rFont val="Calibri"/>
        <family val="2"/>
      </rPr>
      <t>07-0050 - Bituminous Dampproofing</t>
    </r>
  </si>
  <si>
    <r>
      <rPr>
        <sz val="7.5"/>
        <rFont val="Calibri"/>
        <family val="2"/>
      </rPr>
      <t>07-0110 - Caulking &amp; Sealants</t>
    </r>
  </si>
  <si>
    <r>
      <rPr>
        <sz val="7.5"/>
        <rFont val="Calibri"/>
        <family val="2"/>
      </rPr>
      <t>07-0130 - Stucco/Siding</t>
    </r>
  </si>
  <si>
    <r>
      <rPr>
        <sz val="7.5"/>
        <rFont val="Calibri"/>
        <family val="2"/>
      </rPr>
      <t>07-0170 - Deck Coating</t>
    </r>
  </si>
  <si>
    <r>
      <rPr>
        <sz val="7.5"/>
        <rFont val="Calibri"/>
        <family val="2"/>
      </rPr>
      <t>07-0230 - Insulation - Interiors</t>
    </r>
  </si>
  <si>
    <r>
      <rPr>
        <sz val="7.5"/>
        <rFont val="Calibri"/>
        <family val="2"/>
      </rPr>
      <t>07-0250 - Membrane Roofing</t>
    </r>
  </si>
  <si>
    <r>
      <rPr>
        <sz val="7.5"/>
        <rFont val="Calibri"/>
        <family val="2"/>
      </rPr>
      <t>07-0310 - Soffit &amp; Fascia</t>
    </r>
  </si>
  <si>
    <r>
      <rPr>
        <sz val="7.5"/>
        <rFont val="Calibri"/>
        <family val="2"/>
      </rPr>
      <t>07-0350 - Roof Specialist &amp; Accessories</t>
    </r>
  </si>
  <si>
    <r>
      <rPr>
        <sz val="7.5"/>
        <rFont val="Calibri"/>
        <family val="2"/>
      </rPr>
      <t>08-0010 - Access Doors Overhead</t>
    </r>
  </si>
  <si>
    <r>
      <rPr>
        <sz val="7.5"/>
        <rFont val="Calibri"/>
        <family val="2"/>
      </rPr>
      <t>08-0170 - Entrance &amp; Storefronts</t>
    </r>
  </si>
  <si>
    <r>
      <rPr>
        <sz val="7.5"/>
        <rFont val="Calibri"/>
        <family val="2"/>
      </rPr>
      <t>08-0260 - Doors &amp; Frames</t>
    </r>
  </si>
  <si>
    <r>
      <rPr>
        <sz val="7.5"/>
        <rFont val="Calibri"/>
        <family val="2"/>
      </rPr>
      <t>08-0290 - Mirrors</t>
    </r>
  </si>
  <si>
    <r>
      <rPr>
        <sz val="7.5"/>
        <rFont val="Calibri"/>
        <family val="2"/>
      </rPr>
      <t>08-0300 - Windows</t>
    </r>
  </si>
  <si>
    <r>
      <rPr>
        <sz val="7.5"/>
        <rFont val="Calibri"/>
        <family val="2"/>
      </rPr>
      <t>08-0320 - Spcl Door - Ext (Fire Rated Doors) Smoke</t>
    </r>
  </si>
  <si>
    <r>
      <rPr>
        <sz val="7.5"/>
        <rFont val="Calibri"/>
        <family val="2"/>
      </rPr>
      <t>09-0050 - Ceramic Tile</t>
    </r>
  </si>
  <si>
    <r>
      <rPr>
        <sz val="7.5"/>
        <rFont val="Calibri"/>
        <family val="2"/>
      </rPr>
      <t>09-0130 - Flooring</t>
    </r>
  </si>
  <si>
    <r>
      <rPr>
        <sz val="7.5"/>
        <rFont val="Calibri"/>
        <family val="2"/>
      </rPr>
      <t>09-0190 - Painting - Site Improvements</t>
    </r>
  </si>
  <si>
    <r>
      <rPr>
        <sz val="7.5"/>
        <rFont val="Calibri"/>
        <family val="2"/>
      </rPr>
      <t>09-0250 - Gypsum Board Install</t>
    </r>
  </si>
  <si>
    <r>
      <rPr>
        <sz val="7.5"/>
        <rFont val="Calibri"/>
        <family val="2"/>
      </rPr>
      <t>10-0150 - Fire Extinguisher Cabinets</t>
    </r>
  </si>
  <si>
    <r>
      <rPr>
        <sz val="7.5"/>
        <rFont val="Calibri"/>
        <family val="2"/>
      </rPr>
      <t>10-0250 - Knox Boxes</t>
    </r>
  </si>
  <si>
    <r>
      <rPr>
        <sz val="7.5"/>
        <rFont val="Calibri"/>
        <family val="2"/>
      </rPr>
      <t>10-0310 - Postal Specialities</t>
    </r>
  </si>
  <si>
    <r>
      <rPr>
        <sz val="7.5"/>
        <rFont val="Calibri"/>
        <family val="2"/>
      </rPr>
      <t>10-0330 - Signage-Inter/Exter Code</t>
    </r>
  </si>
  <si>
    <r>
      <rPr>
        <sz val="7.5"/>
        <rFont val="Calibri"/>
        <family val="2"/>
      </rPr>
      <t>10-0370 - Toilet &amp; Bath Accessories</t>
    </r>
  </si>
  <si>
    <r>
      <rPr>
        <sz val="7.5"/>
        <rFont val="Calibri"/>
        <family val="2"/>
      </rPr>
      <t>11-0110 - Residential Appliances</t>
    </r>
  </si>
  <si>
    <r>
      <rPr>
        <sz val="7.5"/>
        <rFont val="Calibri"/>
        <family val="2"/>
      </rPr>
      <t>12-0010 - Blinds</t>
    </r>
  </si>
  <si>
    <r>
      <rPr>
        <sz val="7.5"/>
        <rFont val="Calibri"/>
        <family val="2"/>
      </rPr>
      <t>13-0010 - Carports</t>
    </r>
  </si>
  <si>
    <r>
      <rPr>
        <sz val="7.5"/>
        <rFont val="Calibri"/>
        <family val="2"/>
      </rPr>
      <t>13-0030 - Swimming Pools</t>
    </r>
  </si>
  <si>
    <r>
      <rPr>
        <sz val="7.5"/>
        <rFont val="Calibri"/>
        <family val="2"/>
      </rPr>
      <t>14-0010 - Chutes (Waste &amp; Recycling)</t>
    </r>
  </si>
  <si>
    <r>
      <rPr>
        <sz val="7.5"/>
        <rFont val="Calibri"/>
        <family val="2"/>
      </rPr>
      <t>14-0050 - Elevators</t>
    </r>
  </si>
  <si>
    <r>
      <rPr>
        <sz val="7.5"/>
        <rFont val="Calibri"/>
        <family val="2"/>
      </rPr>
      <t>21-0020 - Wet Pipe Sprinkler Systems</t>
    </r>
  </si>
  <si>
    <r>
      <rPr>
        <sz val="7.5"/>
        <rFont val="Calibri"/>
        <family val="2"/>
      </rPr>
      <t>22-0010 - Plumbingg Fixture Accessories</t>
    </r>
  </si>
  <si>
    <r>
      <rPr>
        <sz val="7.5"/>
        <rFont val="Calibri"/>
        <family val="2"/>
      </rPr>
      <t>22-0050 - Plumbing Systems</t>
    </r>
  </si>
  <si>
    <r>
      <rPr>
        <sz val="7.5"/>
        <rFont val="Calibri"/>
        <family val="2"/>
      </rPr>
      <t>23-0090 - HVAC</t>
    </r>
  </si>
  <si>
    <r>
      <rPr>
        <sz val="7.5"/>
        <rFont val="Calibri"/>
        <family val="2"/>
      </rPr>
      <t>26-0010 - Basic Electrical Materials</t>
    </r>
  </si>
  <si>
    <r>
      <rPr>
        <sz val="7.5"/>
        <rFont val="Calibri"/>
        <family val="2"/>
      </rPr>
      <t>26-0090 - Temp Power &amp; Usage</t>
    </r>
  </si>
  <si>
    <r>
      <rPr>
        <sz val="7.5"/>
        <rFont val="Calibri"/>
        <family val="2"/>
      </rPr>
      <t>26-0130 - Electric Car Charging Allowance</t>
    </r>
  </si>
  <si>
    <r>
      <rPr>
        <sz val="7.5"/>
        <rFont val="Calibri"/>
        <family val="2"/>
      </rPr>
      <t>31-0100 - Earthwork</t>
    </r>
  </si>
  <si>
    <r>
      <rPr>
        <sz val="7.5"/>
        <rFont val="Calibri"/>
        <family val="2"/>
      </rPr>
      <t>31-0200 - Earth Moving</t>
    </r>
  </si>
  <si>
    <r>
      <rPr>
        <sz val="7.5"/>
        <rFont val="Calibri"/>
        <family val="2"/>
      </rPr>
      <t>32-0200 - Asphalt  Paving</t>
    </r>
  </si>
  <si>
    <r>
      <rPr>
        <sz val="7.5"/>
        <rFont val="Calibri"/>
        <family val="2"/>
      </rPr>
      <t>32-0300 - Fencing</t>
    </r>
  </si>
  <si>
    <r>
      <rPr>
        <sz val="7.5"/>
        <rFont val="Calibri"/>
        <family val="2"/>
      </rPr>
      <t>32-0700 - Landscaping &amp; Planting</t>
    </r>
  </si>
  <si>
    <r>
      <rPr>
        <b/>
        <sz val="7.5"/>
        <rFont val="Calibri"/>
        <family val="2"/>
      </rPr>
      <t>SUBTOTALS</t>
    </r>
  </si>
  <si>
    <r>
      <rPr>
        <sz val="6.5"/>
        <rFont val="Arial"/>
        <family val="2"/>
      </rPr>
      <t>GC-0010 - Contingency</t>
    </r>
  </si>
  <si>
    <r>
      <rPr>
        <sz val="6.5"/>
        <rFont val="Arial"/>
        <family val="2"/>
      </rPr>
      <t>GC-0020 - Profit</t>
    </r>
  </si>
  <si>
    <r>
      <rPr>
        <sz val="6.5"/>
        <rFont val="Arial"/>
        <family val="2"/>
      </rPr>
      <t>GC-0040 - Insurance</t>
    </r>
  </si>
  <si>
    <r>
      <rPr>
        <sz val="6.5"/>
        <rFont val="Arial"/>
        <family val="2"/>
      </rPr>
      <t>GC-0060 - Development Fee</t>
    </r>
  </si>
  <si>
    <r>
      <rPr>
        <b/>
        <sz val="8"/>
        <rFont val="Calibri"/>
        <family val="2"/>
      </rPr>
      <t>GRAND TOTALS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</si>
</sst>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"/>
    <numFmt numFmtId="165" formatCode="\$0.00"/>
    <numFmt numFmtId="167" formatCode="&quot;$&quot;#,##0.00"/>
  </numFmts>
  <fonts count="24" x14ac:knownFonts="1">
    <font>
      <sz val="10"/>
      <color rgb="FF000000"/>
      <name val="Times New Roman"/>
      <charset val="204"/>
    </font>
    <font>
      <b/>
      <sz val="15"/>
      <name val="Calibri"/>
    </font>
    <font>
      <i/>
      <sz val="10"/>
      <name val="Calibri"/>
    </font>
    <font>
      <sz val="5"/>
      <name val="Calibri"/>
    </font>
    <font>
      <sz val="7.5"/>
      <name val="Calibri"/>
    </font>
    <font>
      <sz val="8"/>
      <name val="Calibri"/>
    </font>
    <font>
      <sz val="8"/>
      <color rgb="FF000000"/>
      <name val="Calibri"/>
      <family val="2"/>
    </font>
    <font>
      <sz val="6.5"/>
      <name val="Calibri"/>
    </font>
    <font>
      <sz val="6.5"/>
      <color rgb="FF000000"/>
      <name val="Calibri"/>
      <family val="2"/>
    </font>
    <font>
      <sz val="7.5"/>
      <color rgb="FF000000"/>
      <name val="Calibri"/>
      <family val="2"/>
    </font>
    <font>
      <b/>
      <sz val="7.5"/>
      <name val="Calibri"/>
    </font>
    <font>
      <b/>
      <sz val="7.5"/>
      <color rgb="FF000000"/>
      <name val="Calibri"/>
      <family val="2"/>
    </font>
    <font>
      <sz val="6.5"/>
      <name val="Arial"/>
    </font>
    <font>
      <b/>
      <sz val="8"/>
      <name val="Calibri"/>
    </font>
    <font>
      <b/>
      <sz val="15"/>
      <name val="Calibri"/>
      <family val="2"/>
    </font>
    <font>
      <i/>
      <sz val="10"/>
      <name val="Calibri"/>
      <family val="2"/>
    </font>
    <font>
      <sz val="5"/>
      <name val="Calibri"/>
      <family val="2"/>
    </font>
    <font>
      <sz val="7.5"/>
      <name val="Calibri"/>
      <family val="2"/>
    </font>
    <font>
      <sz val="8"/>
      <name val="Calibri"/>
      <family val="2"/>
    </font>
    <font>
      <sz val="6.5"/>
      <name val="Calibri"/>
      <family val="2"/>
    </font>
    <font>
      <b/>
      <sz val="7.5"/>
      <name val="Calibri"/>
      <family val="2"/>
    </font>
    <font>
      <sz val="6.5"/>
      <name val="Arial"/>
      <family val="2"/>
    </font>
    <font>
      <b/>
      <sz val="8"/>
      <name val="Calibri"/>
      <family val="2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81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7" fillId="0" borderId="3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right" vertical="top" wrapText="1" indent="1"/>
    </xf>
    <xf numFmtId="0" fontId="0" fillId="0" borderId="7" xfId="0" applyBorder="1" applyAlignment="1">
      <alignment horizontal="left" wrapText="1"/>
    </xf>
    <xf numFmtId="0" fontId="7" fillId="0" borderId="7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left" vertical="top" wrapText="1" indent="2"/>
    </xf>
    <xf numFmtId="0" fontId="7" fillId="0" borderId="10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left" vertical="top" wrapText="1" indent="7"/>
    </xf>
    <xf numFmtId="0" fontId="7" fillId="0" borderId="7" xfId="0" applyFont="1" applyBorder="1" applyAlignment="1">
      <alignment horizontal="left" vertical="center" wrapText="1" indent="2"/>
    </xf>
    <xf numFmtId="0" fontId="7" fillId="0" borderId="7" xfId="0" applyFont="1" applyBorder="1" applyAlignment="1">
      <alignment horizontal="right" vertical="center" wrapText="1"/>
    </xf>
    <xf numFmtId="0" fontId="0" fillId="0" borderId="7" xfId="0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7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9" fontId="8" fillId="0" borderId="13" xfId="0" applyNumberFormat="1" applyFont="1" applyBorder="1" applyAlignment="1">
      <alignment horizontal="center" vertical="top" shrinkToFit="1"/>
    </xf>
    <xf numFmtId="1" fontId="9" fillId="0" borderId="10" xfId="0" applyNumberFormat="1" applyFont="1" applyBorder="1" applyAlignment="1">
      <alignment horizontal="right" vertical="top" shrinkToFit="1"/>
    </xf>
    <xf numFmtId="0" fontId="4" fillId="0" borderId="3" xfId="0" applyFont="1" applyBorder="1" applyAlignment="1">
      <alignment horizontal="left" vertical="top" wrapText="1"/>
    </xf>
    <xf numFmtId="164" fontId="9" fillId="0" borderId="3" xfId="0" applyNumberFormat="1" applyFont="1" applyBorder="1" applyAlignment="1">
      <alignment horizontal="right" vertical="top" shrinkToFit="1"/>
    </xf>
    <xf numFmtId="165" fontId="9" fillId="0" borderId="3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wrapText="1"/>
    </xf>
    <xf numFmtId="164" fontId="9" fillId="2" borderId="3" xfId="0" applyNumberFormat="1" applyFont="1" applyFill="1" applyBorder="1" applyAlignment="1">
      <alignment horizontal="right" vertical="top" shrinkToFit="1"/>
    </xf>
    <xf numFmtId="10" fontId="9" fillId="2" borderId="3" xfId="0" applyNumberFormat="1" applyFont="1" applyFill="1" applyBorder="1" applyAlignment="1">
      <alignment horizontal="right" vertical="top" shrinkToFit="1"/>
    </xf>
    <xf numFmtId="165" fontId="9" fillId="2" borderId="3" xfId="0" applyNumberFormat="1" applyFont="1" applyFill="1" applyBorder="1" applyAlignment="1">
      <alignment horizontal="right" vertical="top" shrinkToFit="1"/>
    </xf>
    <xf numFmtId="0" fontId="10" fillId="3" borderId="3" xfId="0" applyFont="1" applyFill="1" applyBorder="1" applyAlignment="1">
      <alignment horizontal="left" vertical="top" wrapText="1"/>
    </xf>
    <xf numFmtId="164" fontId="11" fillId="3" borderId="3" xfId="0" applyNumberFormat="1" applyFont="1" applyFill="1" applyBorder="1" applyAlignment="1">
      <alignment horizontal="right" vertical="top" shrinkToFit="1"/>
    </xf>
    <xf numFmtId="165" fontId="11" fillId="3" borderId="3" xfId="0" applyNumberFormat="1" applyFont="1" applyFill="1" applyBorder="1" applyAlignment="1">
      <alignment horizontal="right" vertical="top" shrinkToFit="1"/>
    </xf>
    <xf numFmtId="0" fontId="12" fillId="0" borderId="3" xfId="0" applyFont="1" applyBorder="1" applyAlignment="1">
      <alignment horizontal="left" vertical="top" wrapText="1"/>
    </xf>
    <xf numFmtId="0" fontId="13" fillId="3" borderId="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1"/>
    </xf>
    <xf numFmtId="0" fontId="0" fillId="0" borderId="1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5" fillId="0" borderId="2" xfId="0" applyFont="1" applyBorder="1" applyAlignment="1">
      <alignment horizontal="right" vertical="top" wrapText="1"/>
    </xf>
    <xf numFmtId="1" fontId="6" fillId="0" borderId="2" xfId="0" applyNumberFormat="1" applyFont="1" applyBorder="1" applyAlignment="1">
      <alignment horizontal="left" vertical="top" indent="4" shrinkToFi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 indent="3"/>
    </xf>
    <xf numFmtId="0" fontId="7" fillId="0" borderId="6" xfId="0" applyFont="1" applyBorder="1" applyAlignment="1">
      <alignment horizontal="left" vertical="top" wrapText="1" indent="3"/>
    </xf>
    <xf numFmtId="0" fontId="7" fillId="0" borderId="8" xfId="0" applyFont="1" applyBorder="1" applyAlignment="1">
      <alignment horizontal="left" vertical="top" wrapText="1" indent="2"/>
    </xf>
    <xf numFmtId="0" fontId="7" fillId="0" borderId="9" xfId="0" applyFont="1" applyBorder="1" applyAlignment="1">
      <alignment horizontal="left" vertical="top" wrapText="1" indent="2"/>
    </xf>
    <xf numFmtId="0" fontId="7" fillId="0" borderId="8" xfId="0" applyFont="1" applyBorder="1" applyAlignment="1">
      <alignment horizontal="left" vertical="center" wrapText="1" indent="2"/>
    </xf>
    <xf numFmtId="0" fontId="7" fillId="0" borderId="9" xfId="0" applyFont="1" applyBorder="1" applyAlignment="1">
      <alignment horizontal="left" vertical="center" wrapText="1" indent="2"/>
    </xf>
    <xf numFmtId="0" fontId="0" fillId="0" borderId="11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7" fillId="0" borderId="11" xfId="0" applyFont="1" applyBorder="1" applyAlignment="1">
      <alignment horizontal="left" vertical="top" wrapText="1" indent="2"/>
    </xf>
    <xf numFmtId="0" fontId="7" fillId="0" borderId="12" xfId="0" applyFont="1" applyBorder="1" applyAlignment="1">
      <alignment horizontal="left" vertical="top" wrapText="1" indent="2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7" fillId="0" borderId="14" xfId="0" applyFont="1" applyBorder="1" applyAlignment="1">
      <alignment horizontal="left" vertical="top" wrapText="1" indent="2"/>
    </xf>
    <xf numFmtId="0" fontId="7" fillId="0" borderId="15" xfId="0" applyFont="1" applyBorder="1" applyAlignment="1">
      <alignment horizontal="left" vertical="top" wrapText="1" indent="2"/>
    </xf>
    <xf numFmtId="164" fontId="9" fillId="0" borderId="4" xfId="0" applyNumberFormat="1" applyFont="1" applyBorder="1" applyAlignment="1">
      <alignment horizontal="right" vertical="top" shrinkToFit="1"/>
    </xf>
    <xf numFmtId="164" fontId="9" fillId="0" borderId="6" xfId="0" applyNumberFormat="1" applyFont="1" applyBorder="1" applyAlignment="1">
      <alignment horizontal="right" vertical="top" shrinkToFit="1"/>
    </xf>
    <xf numFmtId="164" fontId="9" fillId="2" borderId="4" xfId="0" applyNumberFormat="1" applyFont="1" applyFill="1" applyBorder="1" applyAlignment="1">
      <alignment horizontal="right" vertical="top" shrinkToFit="1"/>
    </xf>
    <xf numFmtId="164" fontId="9" fillId="2" borderId="6" xfId="0" applyNumberFormat="1" applyFont="1" applyFill="1" applyBorder="1" applyAlignment="1">
      <alignment horizontal="right" vertical="top" shrinkToFit="1"/>
    </xf>
    <xf numFmtId="165" fontId="9" fillId="0" borderId="4" xfId="0" applyNumberFormat="1" applyFont="1" applyBorder="1" applyAlignment="1">
      <alignment horizontal="right" vertical="top" shrinkToFit="1"/>
    </xf>
    <xf numFmtId="165" fontId="9" fillId="0" borderId="6" xfId="0" applyNumberFormat="1" applyFont="1" applyBorder="1" applyAlignment="1">
      <alignment horizontal="right" vertical="top" shrinkToFit="1"/>
    </xf>
    <xf numFmtId="164" fontId="11" fillId="3" borderId="4" xfId="0" applyNumberFormat="1" applyFont="1" applyFill="1" applyBorder="1" applyAlignment="1">
      <alignment horizontal="right" vertical="top" shrinkToFit="1"/>
    </xf>
    <xf numFmtId="164" fontId="11" fillId="3" borderId="6" xfId="0" applyNumberFormat="1" applyFont="1" applyFill="1" applyBorder="1" applyAlignment="1">
      <alignment horizontal="right" vertical="top" shrinkToFit="1"/>
    </xf>
    <xf numFmtId="10" fontId="11" fillId="3" borderId="3" xfId="2" applyNumberFormat="1" applyFont="1" applyFill="1" applyBorder="1" applyAlignment="1">
      <alignment horizontal="right" vertical="top" shrinkToFit="1"/>
    </xf>
    <xf numFmtId="167" fontId="11" fillId="3" borderId="4" xfId="0" applyNumberFormat="1" applyFont="1" applyFill="1" applyBorder="1" applyAlignment="1">
      <alignment horizontal="center" vertical="top" shrinkToFit="1"/>
    </xf>
    <xf numFmtId="167" fontId="11" fillId="3" borderId="6" xfId="0" applyNumberFormat="1" applyFont="1" applyFill="1" applyBorder="1" applyAlignment="1">
      <alignment horizontal="center" vertical="top" shrinkToFit="1"/>
    </xf>
    <xf numFmtId="167" fontId="9" fillId="2" borderId="4" xfId="0" applyNumberFormat="1" applyFont="1" applyFill="1" applyBorder="1" applyAlignment="1">
      <alignment horizontal="right" vertical="top" shrinkToFit="1"/>
    </xf>
    <xf numFmtId="167" fontId="9" fillId="2" borderId="6" xfId="0" applyNumberFormat="1" applyFont="1" applyFill="1" applyBorder="1" applyAlignment="1">
      <alignment horizontal="right" vertical="top" shrinkToFit="1"/>
    </xf>
    <xf numFmtId="167" fontId="11" fillId="3" borderId="3" xfId="0" applyNumberFormat="1" applyFont="1" applyFill="1" applyBorder="1" applyAlignment="1">
      <alignment horizontal="right" vertical="top" shrinkToFit="1"/>
    </xf>
    <xf numFmtId="167" fontId="9" fillId="2" borderId="3" xfId="0" applyNumberFormat="1" applyFont="1" applyFill="1" applyBorder="1" applyAlignment="1">
      <alignment horizontal="right" vertical="top" shrinkToFit="1"/>
    </xf>
    <xf numFmtId="167" fontId="11" fillId="3" borderId="4" xfId="1" applyNumberFormat="1" applyFont="1" applyFill="1" applyBorder="1" applyAlignment="1">
      <alignment horizontal="center" vertical="top" shrinkToFit="1"/>
    </xf>
    <xf numFmtId="167" fontId="11" fillId="3" borderId="6" xfId="1" applyNumberFormat="1" applyFont="1" applyFill="1" applyBorder="1" applyAlignment="1">
      <alignment horizontal="center" vertical="top" shrinkToFit="1"/>
    </xf>
    <xf numFmtId="167" fontId="9" fillId="2" borderId="4" xfId="1" applyNumberFormat="1" applyFont="1" applyFill="1" applyBorder="1" applyAlignment="1">
      <alignment horizontal="right" vertical="top" shrinkToFit="1"/>
    </xf>
    <xf numFmtId="167" fontId="9" fillId="2" borderId="6" xfId="1" applyNumberFormat="1" applyFont="1" applyFill="1" applyBorder="1" applyAlignment="1">
      <alignment horizontal="right" vertical="top" shrinkToFi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9"/>
  <sheetViews>
    <sheetView tabSelected="1" topLeftCell="A29" workbookViewId="0">
      <selection activeCell="H77" sqref="H77"/>
    </sheetView>
  </sheetViews>
  <sheetFormatPr defaultRowHeight="12.75" x14ac:dyDescent="0.2"/>
  <cols>
    <col min="1" max="1" width="6.83203125" customWidth="1"/>
    <col min="2" max="2" width="40.6640625" customWidth="1"/>
    <col min="3" max="3" width="18" customWidth="1"/>
    <col min="4" max="4" width="12.6640625" customWidth="1"/>
    <col min="5" max="5" width="5.83203125" customWidth="1"/>
    <col min="6" max="6" width="11.83203125" customWidth="1"/>
    <col min="7" max="7" width="15.6640625" customWidth="1"/>
    <col min="8" max="8" width="13.5" customWidth="1"/>
    <col min="9" max="9" width="11.5" customWidth="1"/>
    <col min="10" max="10" width="6" customWidth="1"/>
    <col min="11" max="11" width="12.5" customWidth="1"/>
    <col min="12" max="12" width="9.33203125" customWidth="1"/>
    <col min="13" max="13" width="5.83203125" customWidth="1"/>
    <col min="14" max="14" width="9.33203125" customWidth="1"/>
    <col min="15" max="15" width="12.6640625" customWidth="1"/>
  </cols>
  <sheetData>
    <row r="1" spans="1:15" ht="22.5" customHeight="1" x14ac:dyDescent="0.2">
      <c r="A1" s="34" t="s">
        <v>0</v>
      </c>
      <c r="B1" s="34"/>
      <c r="C1" s="34"/>
      <c r="D1" s="34"/>
      <c r="E1" s="34"/>
      <c r="F1" s="35" t="s">
        <v>1</v>
      </c>
      <c r="G1" s="35"/>
      <c r="H1" s="35"/>
      <c r="I1" s="35"/>
      <c r="J1" s="35"/>
      <c r="K1" s="36"/>
      <c r="L1" s="36"/>
      <c r="M1" s="1" t="s">
        <v>2</v>
      </c>
      <c r="N1" s="36"/>
      <c r="O1" s="36"/>
    </row>
    <row r="2" spans="1:15" ht="12" customHeight="1" x14ac:dyDescent="0.2">
      <c r="A2" s="37" t="s">
        <v>3</v>
      </c>
      <c r="B2" s="37"/>
      <c r="C2" s="37"/>
      <c r="D2" s="37"/>
      <c r="E2" s="37"/>
      <c r="F2" s="38"/>
      <c r="G2" s="38"/>
      <c r="H2" s="38"/>
      <c r="I2" s="38"/>
      <c r="J2" s="38"/>
      <c r="K2" s="39" t="s">
        <v>4</v>
      </c>
      <c r="L2" s="39"/>
      <c r="M2" s="2"/>
      <c r="N2" s="40">
        <v>0</v>
      </c>
      <c r="O2" s="40"/>
    </row>
    <row r="3" spans="1:15" ht="12" customHeight="1" x14ac:dyDescent="0.2">
      <c r="A3" s="41" t="s">
        <v>5</v>
      </c>
      <c r="B3" s="41"/>
      <c r="C3" s="41"/>
      <c r="D3" s="41"/>
      <c r="E3" s="41"/>
      <c r="F3" s="42"/>
      <c r="G3" s="42"/>
      <c r="H3" s="42"/>
      <c r="I3" s="42"/>
      <c r="J3" s="42"/>
      <c r="K3" s="43" t="s">
        <v>6</v>
      </c>
      <c r="L3" s="43"/>
      <c r="M3" s="3"/>
      <c r="N3" s="44" t="s">
        <v>7</v>
      </c>
      <c r="O3" s="44"/>
    </row>
    <row r="4" spans="1:15" ht="12" customHeight="1" x14ac:dyDescent="0.2">
      <c r="A4" s="41" t="s">
        <v>8</v>
      </c>
      <c r="B4" s="41"/>
      <c r="C4" s="41"/>
      <c r="D4" s="41"/>
      <c r="E4" s="41"/>
      <c r="F4" s="42"/>
      <c r="G4" s="42"/>
      <c r="H4" s="42"/>
      <c r="I4" s="42"/>
      <c r="J4" s="42"/>
      <c r="K4" s="43" t="s">
        <v>9</v>
      </c>
      <c r="L4" s="43"/>
      <c r="M4" s="3"/>
      <c r="N4" s="44" t="s">
        <v>7</v>
      </c>
      <c r="O4" s="44"/>
    </row>
    <row r="5" spans="1:15" ht="12.2" customHeight="1" x14ac:dyDescent="0.2">
      <c r="A5" t="s">
        <v>10</v>
      </c>
    </row>
    <row r="6" spans="1:15" ht="9.9499999999999993" customHeight="1" x14ac:dyDescent="0.2">
      <c r="A6" s="4" t="s">
        <v>11</v>
      </c>
      <c r="B6" s="4" t="s">
        <v>12</v>
      </c>
      <c r="C6" s="45" t="s">
        <v>13</v>
      </c>
      <c r="D6" s="46"/>
      <c r="E6" s="46"/>
      <c r="F6" s="47"/>
      <c r="G6" s="4" t="s">
        <v>14</v>
      </c>
      <c r="H6" s="4" t="s">
        <v>15</v>
      </c>
      <c r="I6" s="4" t="s">
        <v>16</v>
      </c>
      <c r="J6" s="45" t="s">
        <v>17</v>
      </c>
      <c r="K6" s="46"/>
      <c r="L6" s="47"/>
      <c r="M6" s="45" t="s">
        <v>18</v>
      </c>
      <c r="N6" s="47"/>
      <c r="O6" s="4" t="s">
        <v>19</v>
      </c>
    </row>
    <row r="7" spans="1:15" ht="9" customHeight="1" x14ac:dyDescent="0.2">
      <c r="A7" s="5" t="s">
        <v>20</v>
      </c>
      <c r="B7" s="6"/>
      <c r="C7" s="45" t="s">
        <v>21</v>
      </c>
      <c r="D7" s="46"/>
      <c r="E7" s="46"/>
      <c r="F7" s="47"/>
      <c r="G7" s="48" t="s">
        <v>22</v>
      </c>
      <c r="H7" s="49"/>
      <c r="I7" s="7" t="s">
        <v>23</v>
      </c>
      <c r="J7" s="50" t="s">
        <v>24</v>
      </c>
      <c r="K7" s="51"/>
      <c r="L7" s="7" t="s">
        <v>25</v>
      </c>
      <c r="M7" s="50" t="s">
        <v>26</v>
      </c>
      <c r="N7" s="51"/>
      <c r="O7" s="8" t="s">
        <v>27</v>
      </c>
    </row>
    <row r="8" spans="1:15" ht="18" customHeight="1" x14ac:dyDescent="0.2">
      <c r="A8" s="9" t="s">
        <v>28</v>
      </c>
      <c r="B8" s="10" t="s">
        <v>29</v>
      </c>
      <c r="C8" s="11" t="s">
        <v>30</v>
      </c>
      <c r="D8" s="12" t="s">
        <v>31</v>
      </c>
      <c r="E8" s="52" t="s">
        <v>32</v>
      </c>
      <c r="F8" s="53"/>
      <c r="G8" s="13" t="s">
        <v>33</v>
      </c>
      <c r="H8" s="14" t="s">
        <v>34</v>
      </c>
      <c r="I8" s="15" t="s">
        <v>35</v>
      </c>
      <c r="J8" s="54" t="s">
        <v>36</v>
      </c>
      <c r="K8" s="55"/>
      <c r="L8" s="16" t="s">
        <v>37</v>
      </c>
      <c r="M8" s="56" t="s">
        <v>38</v>
      </c>
      <c r="N8" s="57"/>
      <c r="O8" s="17"/>
    </row>
    <row r="9" spans="1:15" ht="9" customHeight="1" x14ac:dyDescent="0.2">
      <c r="A9" s="18"/>
      <c r="B9" s="19"/>
      <c r="C9" s="19"/>
      <c r="D9" s="19"/>
      <c r="E9" s="58"/>
      <c r="F9" s="59"/>
      <c r="G9" s="19"/>
      <c r="H9" s="19"/>
      <c r="I9" s="19"/>
      <c r="J9" s="60" t="s">
        <v>39</v>
      </c>
      <c r="K9" s="61"/>
      <c r="L9" s="19"/>
      <c r="M9" s="58"/>
      <c r="N9" s="59"/>
      <c r="O9" s="20">
        <v>0.05</v>
      </c>
    </row>
    <row r="10" spans="1:15" ht="9.9499999999999993" customHeight="1" x14ac:dyDescent="0.2">
      <c r="A10" s="21">
        <v>1</v>
      </c>
      <c r="B10" s="22" t="s">
        <v>40</v>
      </c>
      <c r="C10" s="23">
        <v>238113</v>
      </c>
      <c r="D10" s="24">
        <v>0</v>
      </c>
      <c r="E10" s="62">
        <v>238113</v>
      </c>
      <c r="F10" s="63"/>
      <c r="G10" s="23">
        <v>193468.81</v>
      </c>
      <c r="H10" s="25"/>
      <c r="I10" s="25"/>
      <c r="J10" s="64">
        <f>G10+I10+H10</f>
        <v>193468.81</v>
      </c>
      <c r="K10" s="65"/>
      <c r="L10" s="27">
        <f>J10/E10</f>
        <v>0.81250838887418997</v>
      </c>
      <c r="M10" s="64">
        <f>E10-J10</f>
        <v>44644.19</v>
      </c>
      <c r="N10" s="65"/>
      <c r="O10" s="26">
        <v>9673.44</v>
      </c>
    </row>
    <row r="11" spans="1:15" ht="9.9499999999999993" customHeight="1" x14ac:dyDescent="0.2">
      <c r="A11" s="21">
        <v>2</v>
      </c>
      <c r="B11" s="22" t="s">
        <v>41</v>
      </c>
      <c r="C11" s="23">
        <v>877090</v>
      </c>
      <c r="D11" s="24">
        <v>0</v>
      </c>
      <c r="E11" s="62">
        <v>877090</v>
      </c>
      <c r="F11" s="63"/>
      <c r="G11" s="23">
        <v>712635.62</v>
      </c>
      <c r="H11" s="25"/>
      <c r="I11" s="25"/>
      <c r="J11" s="64">
        <f t="shared" ref="J11:J47" si="0">G11+I11+H11</f>
        <v>712635.62</v>
      </c>
      <c r="K11" s="65"/>
      <c r="L11" s="27">
        <f t="shared" ref="L11:L47" si="1">J11/E11</f>
        <v>0.81249999429933073</v>
      </c>
      <c r="M11" s="64">
        <f t="shared" ref="M11:M47" si="2">E11-J11</f>
        <v>164454.38</v>
      </c>
      <c r="N11" s="65"/>
      <c r="O11" s="26">
        <v>35631.78</v>
      </c>
    </row>
    <row r="12" spans="1:15" ht="9.9499999999999993" customHeight="1" x14ac:dyDescent="0.2">
      <c r="A12" s="21">
        <v>3</v>
      </c>
      <c r="B12" s="22" t="s">
        <v>42</v>
      </c>
      <c r="C12" s="23">
        <v>293535</v>
      </c>
      <c r="D12" s="23">
        <v>5950</v>
      </c>
      <c r="E12" s="62">
        <v>299485</v>
      </c>
      <c r="F12" s="63"/>
      <c r="G12" s="23">
        <v>243331.56</v>
      </c>
      <c r="H12" s="25"/>
      <c r="I12" s="25"/>
      <c r="J12" s="64">
        <f t="shared" si="0"/>
        <v>243331.56</v>
      </c>
      <c r="K12" s="65"/>
      <c r="L12" s="27">
        <f t="shared" si="1"/>
        <v>0.81249999165233655</v>
      </c>
      <c r="M12" s="64">
        <f t="shared" si="2"/>
        <v>56153.440000000002</v>
      </c>
      <c r="N12" s="65"/>
      <c r="O12" s="26">
        <v>12166.58</v>
      </c>
    </row>
    <row r="13" spans="1:15" ht="9.9499999999999993" customHeight="1" x14ac:dyDescent="0.2">
      <c r="A13" s="21">
        <v>4</v>
      </c>
      <c r="B13" s="22" t="s">
        <v>43</v>
      </c>
      <c r="C13" s="23">
        <v>32100</v>
      </c>
      <c r="D13" s="24">
        <v>-950</v>
      </c>
      <c r="E13" s="62">
        <v>31150</v>
      </c>
      <c r="F13" s="63"/>
      <c r="G13" s="23">
        <v>31150</v>
      </c>
      <c r="H13" s="25"/>
      <c r="I13" s="25"/>
      <c r="J13" s="64">
        <f t="shared" si="0"/>
        <v>31150</v>
      </c>
      <c r="K13" s="65"/>
      <c r="L13" s="27">
        <f t="shared" si="1"/>
        <v>1</v>
      </c>
      <c r="M13" s="64">
        <f t="shared" si="2"/>
        <v>0</v>
      </c>
      <c r="N13" s="65"/>
      <c r="O13" s="26">
        <v>1557.5</v>
      </c>
    </row>
    <row r="14" spans="1:15" ht="9.9499999999999993" customHeight="1" x14ac:dyDescent="0.2">
      <c r="A14" s="21">
        <v>5</v>
      </c>
      <c r="B14" s="22" t="s">
        <v>44</v>
      </c>
      <c r="C14" s="23">
        <v>60443</v>
      </c>
      <c r="D14" s="25"/>
      <c r="E14" s="62">
        <v>60443</v>
      </c>
      <c r="F14" s="63"/>
      <c r="G14" s="24">
        <v>0</v>
      </c>
      <c r="H14" s="25"/>
      <c r="I14" s="25"/>
      <c r="J14" s="64">
        <f t="shared" si="0"/>
        <v>0</v>
      </c>
      <c r="K14" s="65"/>
      <c r="L14" s="27">
        <f t="shared" si="1"/>
        <v>0</v>
      </c>
      <c r="M14" s="64">
        <f t="shared" si="2"/>
        <v>60443</v>
      </c>
      <c r="N14" s="65"/>
      <c r="O14" s="28">
        <v>0</v>
      </c>
    </row>
    <row r="15" spans="1:15" ht="9.9499999999999993" customHeight="1" x14ac:dyDescent="0.2">
      <c r="A15" s="21">
        <v>6</v>
      </c>
      <c r="B15" s="22" t="s">
        <v>45</v>
      </c>
      <c r="C15" s="23">
        <v>155000</v>
      </c>
      <c r="D15" s="25"/>
      <c r="E15" s="62">
        <v>155000</v>
      </c>
      <c r="F15" s="63"/>
      <c r="G15" s="23">
        <v>150896.59</v>
      </c>
      <c r="H15" s="25"/>
      <c r="I15" s="25"/>
      <c r="J15" s="64">
        <f t="shared" si="0"/>
        <v>150896.59</v>
      </c>
      <c r="K15" s="65"/>
      <c r="L15" s="27">
        <f t="shared" si="1"/>
        <v>0.97352638709677419</v>
      </c>
      <c r="M15" s="64">
        <f t="shared" si="2"/>
        <v>4103.4100000000035</v>
      </c>
      <c r="N15" s="65"/>
      <c r="O15" s="26">
        <v>7544.83</v>
      </c>
    </row>
    <row r="16" spans="1:15" ht="9.9499999999999993" customHeight="1" x14ac:dyDescent="0.2">
      <c r="A16" s="21">
        <v>7</v>
      </c>
      <c r="B16" s="22" t="s">
        <v>46</v>
      </c>
      <c r="C16" s="24">
        <v>0</v>
      </c>
      <c r="D16" s="23">
        <v>45000</v>
      </c>
      <c r="E16" s="62">
        <v>45000</v>
      </c>
      <c r="F16" s="63"/>
      <c r="G16" s="24">
        <v>0</v>
      </c>
      <c r="H16" s="25"/>
      <c r="I16" s="25"/>
      <c r="J16" s="64">
        <f t="shared" si="0"/>
        <v>0</v>
      </c>
      <c r="K16" s="65"/>
      <c r="L16" s="27">
        <f t="shared" si="1"/>
        <v>0</v>
      </c>
      <c r="M16" s="64">
        <f t="shared" si="2"/>
        <v>45000</v>
      </c>
      <c r="N16" s="65"/>
      <c r="O16" s="28">
        <v>0</v>
      </c>
    </row>
    <row r="17" spans="1:15" ht="9.9499999999999993" customHeight="1" x14ac:dyDescent="0.2">
      <c r="A17" s="21">
        <v>8</v>
      </c>
      <c r="B17" s="22" t="s">
        <v>47</v>
      </c>
      <c r="C17" s="24">
        <v>0</v>
      </c>
      <c r="D17" s="23">
        <v>-7000</v>
      </c>
      <c r="E17" s="62">
        <v>-7000</v>
      </c>
      <c r="F17" s="63"/>
      <c r="G17" s="24">
        <v>0</v>
      </c>
      <c r="H17" s="25"/>
      <c r="I17" s="25"/>
      <c r="J17" s="64">
        <f t="shared" si="0"/>
        <v>0</v>
      </c>
      <c r="K17" s="65"/>
      <c r="L17" s="27">
        <f t="shared" si="1"/>
        <v>0</v>
      </c>
      <c r="M17" s="64">
        <f t="shared" si="2"/>
        <v>-7000</v>
      </c>
      <c r="N17" s="65"/>
      <c r="O17" s="28">
        <v>0</v>
      </c>
    </row>
    <row r="18" spans="1:15" ht="9.9499999999999993" customHeight="1" x14ac:dyDescent="0.2">
      <c r="A18" s="21">
        <v>9</v>
      </c>
      <c r="B18" s="22" t="s">
        <v>48</v>
      </c>
      <c r="C18" s="24">
        <v>0</v>
      </c>
      <c r="D18" s="23">
        <v>-1143</v>
      </c>
      <c r="E18" s="62">
        <v>-1143</v>
      </c>
      <c r="F18" s="63"/>
      <c r="G18" s="24">
        <v>0</v>
      </c>
      <c r="H18" s="25"/>
      <c r="I18" s="25"/>
      <c r="J18" s="64">
        <f t="shared" si="0"/>
        <v>0</v>
      </c>
      <c r="K18" s="65"/>
      <c r="L18" s="27">
        <f t="shared" si="1"/>
        <v>0</v>
      </c>
      <c r="M18" s="64">
        <f t="shared" si="2"/>
        <v>-1143</v>
      </c>
      <c r="N18" s="65"/>
      <c r="O18" s="28">
        <v>0</v>
      </c>
    </row>
    <row r="19" spans="1:15" ht="9.9499999999999993" customHeight="1" x14ac:dyDescent="0.2">
      <c r="A19" s="21">
        <v>10</v>
      </c>
      <c r="B19" s="22" t="s">
        <v>49</v>
      </c>
      <c r="C19" s="24">
        <v>0</v>
      </c>
      <c r="D19" s="23">
        <v>7000</v>
      </c>
      <c r="E19" s="62">
        <v>7000</v>
      </c>
      <c r="F19" s="63"/>
      <c r="G19" s="24">
        <v>0</v>
      </c>
      <c r="H19" s="25"/>
      <c r="I19" s="25"/>
      <c r="J19" s="64">
        <f t="shared" si="0"/>
        <v>0</v>
      </c>
      <c r="K19" s="65"/>
      <c r="L19" s="27">
        <f t="shared" si="1"/>
        <v>0</v>
      </c>
      <c r="M19" s="64">
        <f t="shared" si="2"/>
        <v>7000</v>
      </c>
      <c r="N19" s="65"/>
      <c r="O19" s="28">
        <v>0</v>
      </c>
    </row>
    <row r="20" spans="1:15" ht="9.9499999999999993" customHeight="1" x14ac:dyDescent="0.2">
      <c r="A20" s="21">
        <v>11</v>
      </c>
      <c r="B20" s="22" t="s">
        <v>45</v>
      </c>
      <c r="C20" s="24">
        <v>0</v>
      </c>
      <c r="D20" s="24">
        <v>0</v>
      </c>
      <c r="E20" s="66">
        <v>-0.01</v>
      </c>
      <c r="F20" s="67"/>
      <c r="G20" s="24">
        <v>-0.01</v>
      </c>
      <c r="H20" s="25"/>
      <c r="I20" s="25"/>
      <c r="J20" s="64">
        <f t="shared" si="0"/>
        <v>-0.01</v>
      </c>
      <c r="K20" s="65"/>
      <c r="L20" s="27">
        <f t="shared" si="1"/>
        <v>1</v>
      </c>
      <c r="M20" s="64">
        <f t="shared" si="2"/>
        <v>0</v>
      </c>
      <c r="N20" s="65"/>
      <c r="O20" s="28">
        <v>0</v>
      </c>
    </row>
    <row r="21" spans="1:15" ht="9.9499999999999993" customHeight="1" x14ac:dyDescent="0.2">
      <c r="A21" s="21">
        <v>12</v>
      </c>
      <c r="B21" s="22" t="s">
        <v>50</v>
      </c>
      <c r="C21" s="23">
        <v>15000</v>
      </c>
      <c r="D21" s="24">
        <v>0</v>
      </c>
      <c r="E21" s="62">
        <v>15000</v>
      </c>
      <c r="F21" s="63"/>
      <c r="G21" s="23">
        <v>9600</v>
      </c>
      <c r="H21" s="25"/>
      <c r="I21" s="25"/>
      <c r="J21" s="64">
        <f t="shared" si="0"/>
        <v>9600</v>
      </c>
      <c r="K21" s="65"/>
      <c r="L21" s="27">
        <f t="shared" si="1"/>
        <v>0.64</v>
      </c>
      <c r="M21" s="64">
        <f t="shared" si="2"/>
        <v>5400</v>
      </c>
      <c r="N21" s="65"/>
      <c r="O21" s="28">
        <v>480</v>
      </c>
    </row>
    <row r="22" spans="1:15" ht="9.9499999999999993" customHeight="1" x14ac:dyDescent="0.2">
      <c r="A22" s="21">
        <v>13</v>
      </c>
      <c r="B22" s="22" t="s">
        <v>51</v>
      </c>
      <c r="C22" s="23">
        <v>9800</v>
      </c>
      <c r="D22" s="24">
        <v>0</v>
      </c>
      <c r="E22" s="62">
        <v>9800</v>
      </c>
      <c r="F22" s="63"/>
      <c r="G22" s="23">
        <v>9800</v>
      </c>
      <c r="H22" s="25"/>
      <c r="I22" s="25"/>
      <c r="J22" s="64">
        <f t="shared" si="0"/>
        <v>9800</v>
      </c>
      <c r="K22" s="65"/>
      <c r="L22" s="27">
        <f t="shared" si="1"/>
        <v>1</v>
      </c>
      <c r="M22" s="64">
        <f t="shared" si="2"/>
        <v>0</v>
      </c>
      <c r="N22" s="65"/>
      <c r="O22" s="28">
        <v>490</v>
      </c>
    </row>
    <row r="23" spans="1:15" ht="9.9499999999999993" customHeight="1" x14ac:dyDescent="0.2">
      <c r="A23" s="21">
        <v>14</v>
      </c>
      <c r="B23" s="22" t="s">
        <v>52</v>
      </c>
      <c r="C23" s="23">
        <v>454250</v>
      </c>
      <c r="D23" s="23">
        <v>9015</v>
      </c>
      <c r="E23" s="62">
        <v>463265</v>
      </c>
      <c r="F23" s="63"/>
      <c r="G23" s="23">
        <v>463266</v>
      </c>
      <c r="H23" s="25"/>
      <c r="I23" s="25"/>
      <c r="J23" s="64">
        <f t="shared" si="0"/>
        <v>463266</v>
      </c>
      <c r="K23" s="65"/>
      <c r="L23" s="27">
        <f t="shared" si="1"/>
        <v>1.0000021585917347</v>
      </c>
      <c r="M23" s="64">
        <f t="shared" si="2"/>
        <v>-1</v>
      </c>
      <c r="N23" s="65"/>
      <c r="O23" s="26">
        <v>23163.3</v>
      </c>
    </row>
    <row r="24" spans="1:15" ht="9.9499999999999993" customHeight="1" x14ac:dyDescent="0.2">
      <c r="A24" s="21">
        <v>15</v>
      </c>
      <c r="B24" s="22" t="s">
        <v>53</v>
      </c>
      <c r="C24" s="23">
        <v>31370</v>
      </c>
      <c r="D24" s="23">
        <v>-31370</v>
      </c>
      <c r="E24" s="66">
        <v>0</v>
      </c>
      <c r="F24" s="67"/>
      <c r="G24" s="24">
        <v>0</v>
      </c>
      <c r="H24" s="25"/>
      <c r="I24" s="25"/>
      <c r="J24" s="64">
        <f t="shared" si="0"/>
        <v>0</v>
      </c>
      <c r="K24" s="65"/>
      <c r="L24" s="27" t="e">
        <f t="shared" si="1"/>
        <v>#DIV/0!</v>
      </c>
      <c r="M24" s="64">
        <f t="shared" si="2"/>
        <v>0</v>
      </c>
      <c r="N24" s="65"/>
      <c r="O24" s="28">
        <v>0</v>
      </c>
    </row>
    <row r="25" spans="1:15" ht="9.9499999999999993" customHeight="1" x14ac:dyDescent="0.2">
      <c r="A25" s="21">
        <v>16</v>
      </c>
      <c r="B25" s="22" t="s">
        <v>54</v>
      </c>
      <c r="C25" s="23">
        <v>104850</v>
      </c>
      <c r="D25" s="24">
        <v>0</v>
      </c>
      <c r="E25" s="62">
        <v>104850</v>
      </c>
      <c r="F25" s="63"/>
      <c r="G25" s="24">
        <v>0</v>
      </c>
      <c r="H25" s="25"/>
      <c r="I25" s="25"/>
      <c r="J25" s="64">
        <f t="shared" si="0"/>
        <v>0</v>
      </c>
      <c r="K25" s="65"/>
      <c r="L25" s="27">
        <f t="shared" si="1"/>
        <v>0</v>
      </c>
      <c r="M25" s="64">
        <f t="shared" si="2"/>
        <v>104850</v>
      </c>
      <c r="N25" s="65"/>
      <c r="O25" s="28">
        <v>0</v>
      </c>
    </row>
    <row r="26" spans="1:15" ht="9.9499999999999993" customHeight="1" x14ac:dyDescent="0.2">
      <c r="A26" s="21">
        <v>17</v>
      </c>
      <c r="B26" s="22" t="s">
        <v>55</v>
      </c>
      <c r="C26" s="23">
        <v>23250</v>
      </c>
      <c r="D26" s="24">
        <v>0</v>
      </c>
      <c r="E26" s="62">
        <v>23250</v>
      </c>
      <c r="F26" s="63"/>
      <c r="G26" s="23">
        <v>23250</v>
      </c>
      <c r="H26" s="25"/>
      <c r="I26" s="25"/>
      <c r="J26" s="64">
        <f t="shared" si="0"/>
        <v>23250</v>
      </c>
      <c r="K26" s="65"/>
      <c r="L26" s="27">
        <f t="shared" si="1"/>
        <v>1</v>
      </c>
      <c r="M26" s="64">
        <f t="shared" si="2"/>
        <v>0</v>
      </c>
      <c r="N26" s="65"/>
      <c r="O26" s="26">
        <v>1162.5</v>
      </c>
    </row>
    <row r="27" spans="1:15" ht="9.9499999999999993" customHeight="1" x14ac:dyDescent="0.2">
      <c r="A27" s="21">
        <v>18</v>
      </c>
      <c r="B27" s="22" t="s">
        <v>56</v>
      </c>
      <c r="C27" s="23">
        <v>181300</v>
      </c>
      <c r="D27" s="24">
        <v>0</v>
      </c>
      <c r="E27" s="62">
        <v>181300</v>
      </c>
      <c r="F27" s="63"/>
      <c r="G27" s="23">
        <v>28596.09</v>
      </c>
      <c r="H27" s="25"/>
      <c r="I27" s="25"/>
      <c r="J27" s="64">
        <f t="shared" si="0"/>
        <v>28596.09</v>
      </c>
      <c r="K27" s="65"/>
      <c r="L27" s="27">
        <f t="shared" si="1"/>
        <v>0.15772801985659129</v>
      </c>
      <c r="M27" s="64">
        <f t="shared" si="2"/>
        <v>152703.91</v>
      </c>
      <c r="N27" s="65"/>
      <c r="O27" s="26">
        <v>1429.8</v>
      </c>
    </row>
    <row r="28" spans="1:15" ht="9.9499999999999993" customHeight="1" x14ac:dyDescent="0.2">
      <c r="A28" s="21">
        <v>19</v>
      </c>
      <c r="B28" s="22" t="s">
        <v>57</v>
      </c>
      <c r="C28" s="23">
        <v>437750</v>
      </c>
      <c r="D28" s="23">
        <v>51350</v>
      </c>
      <c r="E28" s="62">
        <v>489100</v>
      </c>
      <c r="F28" s="63"/>
      <c r="G28" s="23">
        <v>195145</v>
      </c>
      <c r="H28" s="25"/>
      <c r="I28" s="25"/>
      <c r="J28" s="64">
        <f t="shared" si="0"/>
        <v>195145</v>
      </c>
      <c r="K28" s="65"/>
      <c r="L28" s="27">
        <f t="shared" si="1"/>
        <v>0.39898793702719282</v>
      </c>
      <c r="M28" s="64">
        <f t="shared" si="2"/>
        <v>293955</v>
      </c>
      <c r="N28" s="65"/>
      <c r="O28" s="26">
        <v>9757.25</v>
      </c>
    </row>
    <row r="29" spans="1:15" ht="9.9499999999999993" customHeight="1" x14ac:dyDescent="0.2">
      <c r="A29" s="21">
        <v>20</v>
      </c>
      <c r="B29" s="22" t="s">
        <v>58</v>
      </c>
      <c r="C29" s="23">
        <v>440000</v>
      </c>
      <c r="D29" s="23">
        <v>-10334</v>
      </c>
      <c r="E29" s="62">
        <v>429666</v>
      </c>
      <c r="F29" s="63"/>
      <c r="G29" s="23">
        <v>256273.05</v>
      </c>
      <c r="H29" s="23">
        <f>107118.2*1.05</f>
        <v>112474.11</v>
      </c>
      <c r="I29" s="25"/>
      <c r="J29" s="64">
        <f t="shared" si="0"/>
        <v>368747.16</v>
      </c>
      <c r="K29" s="65"/>
      <c r="L29" s="27">
        <f t="shared" si="1"/>
        <v>0.85821815084274755</v>
      </c>
      <c r="M29" s="64">
        <f t="shared" si="2"/>
        <v>60918.840000000026</v>
      </c>
      <c r="N29" s="65"/>
      <c r="O29" s="26">
        <f>J29*0.05</f>
        <v>18437.358</v>
      </c>
    </row>
    <row r="30" spans="1:15" ht="9.9499999999999993" customHeight="1" x14ac:dyDescent="0.2">
      <c r="A30" s="21">
        <v>21</v>
      </c>
      <c r="B30" s="22" t="s">
        <v>59</v>
      </c>
      <c r="C30" s="23">
        <v>466669</v>
      </c>
      <c r="D30" s="24">
        <v>0</v>
      </c>
      <c r="E30" s="62">
        <v>466669</v>
      </c>
      <c r="F30" s="63"/>
      <c r="G30" s="23">
        <v>340269.91</v>
      </c>
      <c r="H30" s="25"/>
      <c r="I30" s="25"/>
      <c r="J30" s="64">
        <f t="shared" si="0"/>
        <v>340269.91</v>
      </c>
      <c r="K30" s="65"/>
      <c r="L30" s="27">
        <f t="shared" si="1"/>
        <v>0.72914616141205002</v>
      </c>
      <c r="M30" s="64">
        <f t="shared" si="2"/>
        <v>126399.09000000003</v>
      </c>
      <c r="N30" s="65"/>
      <c r="O30" s="26">
        <f t="shared" ref="O30:O47" si="3">J30*0.05</f>
        <v>17013.495500000001</v>
      </c>
    </row>
    <row r="31" spans="1:15" ht="9.9499999999999993" customHeight="1" x14ac:dyDescent="0.2">
      <c r="A31" s="21">
        <v>22</v>
      </c>
      <c r="B31" s="22" t="s">
        <v>60</v>
      </c>
      <c r="C31" s="23">
        <v>228576</v>
      </c>
      <c r="D31" s="23">
        <v>35944</v>
      </c>
      <c r="E31" s="62">
        <v>264520</v>
      </c>
      <c r="F31" s="63"/>
      <c r="G31" s="23">
        <v>133289.5</v>
      </c>
      <c r="H31" s="25"/>
      <c r="I31" s="25"/>
      <c r="J31" s="64">
        <f t="shared" si="0"/>
        <v>133289.5</v>
      </c>
      <c r="K31" s="65"/>
      <c r="L31" s="27">
        <f t="shared" si="1"/>
        <v>0.50389195523967945</v>
      </c>
      <c r="M31" s="64">
        <f t="shared" si="2"/>
        <v>131230.5</v>
      </c>
      <c r="N31" s="65"/>
      <c r="O31" s="26">
        <f t="shared" si="3"/>
        <v>6664.4750000000004</v>
      </c>
    </row>
    <row r="32" spans="1:15" ht="9.9499999999999993" customHeight="1" x14ac:dyDescent="0.2">
      <c r="A32" s="21">
        <v>23</v>
      </c>
      <c r="B32" s="22" t="s">
        <v>61</v>
      </c>
      <c r="C32" s="23">
        <v>344663</v>
      </c>
      <c r="D32" s="23">
        <v>-11935</v>
      </c>
      <c r="E32" s="62">
        <v>332728</v>
      </c>
      <c r="F32" s="63"/>
      <c r="G32" s="23">
        <v>4000</v>
      </c>
      <c r="H32" s="25"/>
      <c r="I32" s="25"/>
      <c r="J32" s="64">
        <f t="shared" si="0"/>
        <v>4000</v>
      </c>
      <c r="K32" s="65"/>
      <c r="L32" s="27">
        <f t="shared" si="1"/>
        <v>1.2021831646269625E-2</v>
      </c>
      <c r="M32" s="64">
        <f t="shared" si="2"/>
        <v>328728</v>
      </c>
      <c r="N32" s="65"/>
      <c r="O32" s="26">
        <f t="shared" si="3"/>
        <v>200</v>
      </c>
    </row>
    <row r="33" spans="1:15" ht="9.9499999999999993" customHeight="1" x14ac:dyDescent="0.2">
      <c r="A33" s="21">
        <v>24</v>
      </c>
      <c r="B33" s="22" t="s">
        <v>62</v>
      </c>
      <c r="C33" s="23">
        <v>3365403</v>
      </c>
      <c r="D33" s="23">
        <v>632755.04</v>
      </c>
      <c r="E33" s="62">
        <v>3998158.04</v>
      </c>
      <c r="F33" s="63"/>
      <c r="G33" s="23">
        <v>3999588.04</v>
      </c>
      <c r="H33" s="25"/>
      <c r="I33" s="25"/>
      <c r="J33" s="64">
        <f t="shared" si="0"/>
        <v>3999588.04</v>
      </c>
      <c r="K33" s="65"/>
      <c r="L33" s="27">
        <f t="shared" si="1"/>
        <v>1.0003576647010182</v>
      </c>
      <c r="M33" s="64">
        <f t="shared" si="2"/>
        <v>-1430</v>
      </c>
      <c r="N33" s="65"/>
      <c r="O33" s="26">
        <f t="shared" si="3"/>
        <v>199979.402</v>
      </c>
    </row>
    <row r="34" spans="1:15" ht="9.9499999999999993" customHeight="1" x14ac:dyDescent="0.2">
      <c r="A34" s="21">
        <v>25</v>
      </c>
      <c r="B34" s="22" t="s">
        <v>63</v>
      </c>
      <c r="C34" s="23">
        <v>5000</v>
      </c>
      <c r="D34" s="24">
        <v>0</v>
      </c>
      <c r="E34" s="62">
        <v>5000</v>
      </c>
      <c r="F34" s="63"/>
      <c r="G34" s="23">
        <v>5000</v>
      </c>
      <c r="H34" s="25"/>
      <c r="I34" s="25"/>
      <c r="J34" s="64">
        <f t="shared" si="0"/>
        <v>5000</v>
      </c>
      <c r="K34" s="65"/>
      <c r="L34" s="27">
        <f t="shared" si="1"/>
        <v>1</v>
      </c>
      <c r="M34" s="64">
        <f t="shared" si="2"/>
        <v>0</v>
      </c>
      <c r="N34" s="65"/>
      <c r="O34" s="26">
        <f t="shared" si="3"/>
        <v>250</v>
      </c>
    </row>
    <row r="35" spans="1:15" ht="9.9499999999999993" customHeight="1" x14ac:dyDescent="0.2">
      <c r="A35" s="21">
        <v>26</v>
      </c>
      <c r="B35" s="22" t="s">
        <v>64</v>
      </c>
      <c r="C35" s="23">
        <v>49250</v>
      </c>
      <c r="D35" s="23">
        <v>-46612</v>
      </c>
      <c r="E35" s="62">
        <v>2638</v>
      </c>
      <c r="F35" s="63"/>
      <c r="G35" s="24">
        <v>0</v>
      </c>
      <c r="H35" s="25"/>
      <c r="I35" s="25"/>
      <c r="J35" s="64">
        <f t="shared" si="0"/>
        <v>0</v>
      </c>
      <c r="K35" s="65"/>
      <c r="L35" s="27">
        <f t="shared" si="1"/>
        <v>0</v>
      </c>
      <c r="M35" s="64">
        <f t="shared" si="2"/>
        <v>2638</v>
      </c>
      <c r="N35" s="65"/>
      <c r="O35" s="26">
        <f t="shared" si="3"/>
        <v>0</v>
      </c>
    </row>
    <row r="36" spans="1:15" ht="9.9499999999999993" customHeight="1" x14ac:dyDescent="0.2">
      <c r="A36" s="21">
        <v>27</v>
      </c>
      <c r="B36" s="22" t="s">
        <v>65</v>
      </c>
      <c r="C36" s="23">
        <v>580570</v>
      </c>
      <c r="D36" s="23">
        <v>89215</v>
      </c>
      <c r="E36" s="62">
        <v>669785</v>
      </c>
      <c r="F36" s="63"/>
      <c r="G36" s="23">
        <v>58849.599999999999</v>
      </c>
      <c r="H36" s="25"/>
      <c r="I36" s="25"/>
      <c r="J36" s="64">
        <f t="shared" si="0"/>
        <v>58849.599999999999</v>
      </c>
      <c r="K36" s="65"/>
      <c r="L36" s="27">
        <f t="shared" si="1"/>
        <v>8.786341885829034E-2</v>
      </c>
      <c r="M36" s="64">
        <f t="shared" si="2"/>
        <v>610935.4</v>
      </c>
      <c r="N36" s="65"/>
      <c r="O36" s="26">
        <f t="shared" si="3"/>
        <v>2942.48</v>
      </c>
    </row>
    <row r="37" spans="1:15" ht="9.9499999999999993" customHeight="1" x14ac:dyDescent="0.2">
      <c r="A37" s="21">
        <v>28</v>
      </c>
      <c r="B37" s="22" t="s">
        <v>66</v>
      </c>
      <c r="C37" s="23">
        <v>89000</v>
      </c>
      <c r="D37" s="24">
        <v>0</v>
      </c>
      <c r="E37" s="62">
        <v>89000</v>
      </c>
      <c r="F37" s="63"/>
      <c r="G37" s="24">
        <v>0</v>
      </c>
      <c r="H37" s="25"/>
      <c r="I37" s="25"/>
      <c r="J37" s="64">
        <f t="shared" si="0"/>
        <v>0</v>
      </c>
      <c r="K37" s="65"/>
      <c r="L37" s="27">
        <f t="shared" si="1"/>
        <v>0</v>
      </c>
      <c r="M37" s="64">
        <f t="shared" si="2"/>
        <v>89000</v>
      </c>
      <c r="N37" s="65"/>
      <c r="O37" s="26">
        <f t="shared" si="3"/>
        <v>0</v>
      </c>
    </row>
    <row r="38" spans="1:15" ht="9.9499999999999993" customHeight="1" x14ac:dyDescent="0.2">
      <c r="A38" s="21">
        <v>29</v>
      </c>
      <c r="B38" s="22" t="s">
        <v>67</v>
      </c>
      <c r="C38" s="23">
        <v>254695</v>
      </c>
      <c r="D38" s="23">
        <v>41805</v>
      </c>
      <c r="E38" s="62">
        <v>296500</v>
      </c>
      <c r="F38" s="63"/>
      <c r="G38" s="23">
        <v>34165</v>
      </c>
      <c r="H38" s="25"/>
      <c r="I38" s="25"/>
      <c r="J38" s="64">
        <f t="shared" si="0"/>
        <v>34165</v>
      </c>
      <c r="K38" s="65"/>
      <c r="L38" s="27">
        <f t="shared" si="1"/>
        <v>0.11522765598650928</v>
      </c>
      <c r="M38" s="64">
        <f t="shared" si="2"/>
        <v>262335</v>
      </c>
      <c r="N38" s="65"/>
      <c r="O38" s="26">
        <f t="shared" si="3"/>
        <v>1708.25</v>
      </c>
    </row>
    <row r="39" spans="1:15" ht="9.9499999999999993" customHeight="1" x14ac:dyDescent="0.2">
      <c r="A39" s="21">
        <v>30</v>
      </c>
      <c r="B39" s="22" t="s">
        <v>68</v>
      </c>
      <c r="C39" s="23">
        <v>248130</v>
      </c>
      <c r="D39" s="23">
        <v>96016.41</v>
      </c>
      <c r="E39" s="62">
        <v>344146.41</v>
      </c>
      <c r="F39" s="63"/>
      <c r="G39" s="23">
        <v>314883.49</v>
      </c>
      <c r="H39" s="25"/>
      <c r="I39" s="25"/>
      <c r="J39" s="64">
        <f t="shared" si="0"/>
        <v>314883.49</v>
      </c>
      <c r="K39" s="65"/>
      <c r="L39" s="27">
        <f t="shared" si="1"/>
        <v>0.91496956193731616</v>
      </c>
      <c r="M39" s="64">
        <f t="shared" si="2"/>
        <v>29262.919999999984</v>
      </c>
      <c r="N39" s="65"/>
      <c r="O39" s="26">
        <f t="shared" si="3"/>
        <v>15744.174500000001</v>
      </c>
    </row>
    <row r="40" spans="1:15" ht="9.9499999999999993" customHeight="1" x14ac:dyDescent="0.2">
      <c r="A40" s="21">
        <v>31</v>
      </c>
      <c r="B40" s="22" t="s">
        <v>69</v>
      </c>
      <c r="C40" s="23">
        <v>48300</v>
      </c>
      <c r="D40" s="23">
        <v>17535</v>
      </c>
      <c r="E40" s="62">
        <v>65835</v>
      </c>
      <c r="F40" s="63"/>
      <c r="G40" s="24">
        <v>0</v>
      </c>
      <c r="H40" s="25"/>
      <c r="I40" s="25"/>
      <c r="J40" s="64">
        <f t="shared" si="0"/>
        <v>0</v>
      </c>
      <c r="K40" s="65"/>
      <c r="L40" s="27">
        <f t="shared" si="1"/>
        <v>0</v>
      </c>
      <c r="M40" s="64">
        <f t="shared" si="2"/>
        <v>65835</v>
      </c>
      <c r="N40" s="65"/>
      <c r="O40" s="26">
        <f t="shared" si="3"/>
        <v>0</v>
      </c>
    </row>
    <row r="41" spans="1:15" ht="9.9499999999999993" customHeight="1" x14ac:dyDescent="0.2">
      <c r="A41" s="21">
        <v>32</v>
      </c>
      <c r="B41" s="22" t="s">
        <v>70</v>
      </c>
      <c r="C41" s="23">
        <v>1670</v>
      </c>
      <c r="D41" s="24">
        <v>0</v>
      </c>
      <c r="E41" s="62">
        <v>1670</v>
      </c>
      <c r="F41" s="63"/>
      <c r="G41" s="23">
        <v>1670</v>
      </c>
      <c r="H41" s="25"/>
      <c r="I41" s="25"/>
      <c r="J41" s="64">
        <f t="shared" si="0"/>
        <v>1670</v>
      </c>
      <c r="K41" s="65"/>
      <c r="L41" s="27">
        <f t="shared" si="1"/>
        <v>1</v>
      </c>
      <c r="M41" s="64">
        <f t="shared" si="2"/>
        <v>0</v>
      </c>
      <c r="N41" s="65"/>
      <c r="O41" s="26">
        <f t="shared" si="3"/>
        <v>83.5</v>
      </c>
    </row>
    <row r="42" spans="1:15" ht="9.9499999999999993" customHeight="1" x14ac:dyDescent="0.2">
      <c r="A42" s="21">
        <v>33</v>
      </c>
      <c r="B42" s="22" t="s">
        <v>71</v>
      </c>
      <c r="C42" s="23">
        <v>57250</v>
      </c>
      <c r="D42" s="24">
        <v>0</v>
      </c>
      <c r="E42" s="62">
        <v>57250</v>
      </c>
      <c r="F42" s="63"/>
      <c r="G42" s="23">
        <v>37212</v>
      </c>
      <c r="H42" s="23">
        <f>14417.2*1.05</f>
        <v>15138.060000000001</v>
      </c>
      <c r="I42" s="25"/>
      <c r="J42" s="64">
        <f t="shared" si="0"/>
        <v>52350.06</v>
      </c>
      <c r="K42" s="65"/>
      <c r="L42" s="27">
        <f t="shared" si="1"/>
        <v>0.91441152838427942</v>
      </c>
      <c r="M42" s="64">
        <f t="shared" si="2"/>
        <v>4899.9400000000023</v>
      </c>
      <c r="N42" s="65"/>
      <c r="O42" s="26">
        <f t="shared" si="3"/>
        <v>2617.5030000000002</v>
      </c>
    </row>
    <row r="43" spans="1:15" ht="9.9499999999999993" customHeight="1" x14ac:dyDescent="0.2">
      <c r="A43" s="21">
        <v>34</v>
      </c>
      <c r="B43" s="22" t="s">
        <v>72</v>
      </c>
      <c r="C43" s="23">
        <v>69340</v>
      </c>
      <c r="D43" s="23">
        <v>48032.1</v>
      </c>
      <c r="E43" s="62">
        <v>117372.1</v>
      </c>
      <c r="F43" s="63"/>
      <c r="G43" s="23">
        <v>112241.5</v>
      </c>
      <c r="H43" s="25"/>
      <c r="I43" s="25"/>
      <c r="J43" s="64">
        <f t="shared" si="0"/>
        <v>112241.5</v>
      </c>
      <c r="K43" s="65"/>
      <c r="L43" s="27">
        <f t="shared" si="1"/>
        <v>0.9562877378866016</v>
      </c>
      <c r="M43" s="64">
        <f t="shared" si="2"/>
        <v>5130.6000000000058</v>
      </c>
      <c r="N43" s="65"/>
      <c r="O43" s="26">
        <f t="shared" si="3"/>
        <v>5612.0750000000007</v>
      </c>
    </row>
    <row r="44" spans="1:15" ht="9.9499999999999993" customHeight="1" x14ac:dyDescent="0.2">
      <c r="A44" s="21">
        <v>35</v>
      </c>
      <c r="B44" s="22" t="s">
        <v>73</v>
      </c>
      <c r="C44" s="23">
        <v>871450</v>
      </c>
      <c r="D44" s="23">
        <v>-7680</v>
      </c>
      <c r="E44" s="62">
        <v>863770</v>
      </c>
      <c r="F44" s="63"/>
      <c r="G44" s="23">
        <v>537222.6</v>
      </c>
      <c r="H44" s="23">
        <f>107774.56*1.05</f>
        <v>113163.288</v>
      </c>
      <c r="I44" s="25"/>
      <c r="J44" s="64">
        <f t="shared" si="0"/>
        <v>650385.88800000004</v>
      </c>
      <c r="K44" s="65"/>
      <c r="L44" s="27">
        <f t="shared" si="1"/>
        <v>0.75296188568716216</v>
      </c>
      <c r="M44" s="64">
        <f t="shared" si="2"/>
        <v>213384.11199999996</v>
      </c>
      <c r="N44" s="65"/>
      <c r="O44" s="26">
        <f t="shared" si="3"/>
        <v>32519.294400000002</v>
      </c>
    </row>
    <row r="45" spans="1:15" ht="9.9499999999999993" customHeight="1" x14ac:dyDescent="0.2">
      <c r="A45" s="21">
        <v>36</v>
      </c>
      <c r="B45" s="22" t="s">
        <v>74</v>
      </c>
      <c r="C45" s="23">
        <v>27585</v>
      </c>
      <c r="D45" s="24">
        <v>0</v>
      </c>
      <c r="E45" s="62">
        <v>27585</v>
      </c>
      <c r="F45" s="63"/>
      <c r="G45" s="23">
        <v>21285</v>
      </c>
      <c r="H45" s="25"/>
      <c r="I45" s="25"/>
      <c r="J45" s="64">
        <f t="shared" si="0"/>
        <v>21285</v>
      </c>
      <c r="K45" s="65"/>
      <c r="L45" s="27">
        <f t="shared" si="1"/>
        <v>0.77161500815660689</v>
      </c>
      <c r="M45" s="64">
        <f t="shared" si="2"/>
        <v>6300</v>
      </c>
      <c r="N45" s="65"/>
      <c r="O45" s="26">
        <f t="shared" si="3"/>
        <v>1064.25</v>
      </c>
    </row>
    <row r="46" spans="1:15" ht="9.9499999999999993" customHeight="1" x14ac:dyDescent="0.2">
      <c r="A46" s="21">
        <v>37</v>
      </c>
      <c r="B46" s="22" t="s">
        <v>75</v>
      </c>
      <c r="C46" s="23">
        <v>106109</v>
      </c>
      <c r="D46" s="23">
        <v>27466.080000000002</v>
      </c>
      <c r="E46" s="62">
        <v>133575.07999999999</v>
      </c>
      <c r="F46" s="63"/>
      <c r="G46" s="23">
        <v>124937.65</v>
      </c>
      <c r="H46" s="23">
        <f>2123.49*1.05</f>
        <v>2229.6644999999999</v>
      </c>
      <c r="I46" s="25"/>
      <c r="J46" s="64">
        <f t="shared" si="0"/>
        <v>127167.31449999999</v>
      </c>
      <c r="K46" s="65"/>
      <c r="L46" s="27">
        <f t="shared" si="1"/>
        <v>0.95202873544975608</v>
      </c>
      <c r="M46" s="64">
        <f t="shared" si="2"/>
        <v>6407.7654999999941</v>
      </c>
      <c r="N46" s="65"/>
      <c r="O46" s="26">
        <f t="shared" si="3"/>
        <v>6358.3657249999997</v>
      </c>
    </row>
    <row r="47" spans="1:15" ht="9.9499999999999993" customHeight="1" x14ac:dyDescent="0.2">
      <c r="A47" s="21">
        <v>38</v>
      </c>
      <c r="B47" s="22" t="s">
        <v>76</v>
      </c>
      <c r="C47" s="23">
        <v>33992</v>
      </c>
      <c r="D47" s="24">
        <v>0</v>
      </c>
      <c r="E47" s="62">
        <v>33992</v>
      </c>
      <c r="F47" s="63"/>
      <c r="G47" s="23">
        <v>27193.599999999999</v>
      </c>
      <c r="H47" s="25"/>
      <c r="I47" s="25"/>
      <c r="J47" s="64">
        <f t="shared" si="0"/>
        <v>27193.599999999999</v>
      </c>
      <c r="K47" s="65"/>
      <c r="L47" s="27">
        <f t="shared" si="1"/>
        <v>0.79999999999999993</v>
      </c>
      <c r="M47" s="64">
        <f t="shared" si="2"/>
        <v>6798.4000000000015</v>
      </c>
      <c r="N47" s="65"/>
      <c r="O47" s="26">
        <f t="shared" si="3"/>
        <v>1359.68</v>
      </c>
    </row>
    <row r="48" spans="1:15" ht="22.5" customHeight="1" x14ac:dyDescent="0.2">
      <c r="A48" s="34" t="s">
        <v>0</v>
      </c>
      <c r="B48" s="34"/>
      <c r="C48" s="34"/>
      <c r="D48" s="34"/>
      <c r="E48" s="34"/>
      <c r="F48" s="35" t="s">
        <v>1</v>
      </c>
      <c r="G48" s="35"/>
      <c r="H48" s="35"/>
      <c r="I48" s="35"/>
      <c r="J48" s="35"/>
      <c r="K48" s="36"/>
      <c r="L48" s="36"/>
      <c r="M48" s="1" t="s">
        <v>2</v>
      </c>
      <c r="N48" s="36"/>
      <c r="O48" s="36"/>
    </row>
    <row r="49" spans="1:15" ht="12" customHeight="1" x14ac:dyDescent="0.2">
      <c r="A49" s="37" t="s">
        <v>3</v>
      </c>
      <c r="B49" s="37"/>
      <c r="C49" s="37"/>
      <c r="D49" s="37"/>
      <c r="E49" s="37"/>
      <c r="F49" s="38"/>
      <c r="G49" s="38"/>
      <c r="H49" s="38"/>
      <c r="I49" s="38"/>
      <c r="J49" s="38"/>
      <c r="K49" s="39" t="s">
        <v>4</v>
      </c>
      <c r="L49" s="39"/>
      <c r="M49" s="2"/>
      <c r="N49" s="40">
        <v>0</v>
      </c>
      <c r="O49" s="40"/>
    </row>
    <row r="50" spans="1:15" ht="12" customHeight="1" x14ac:dyDescent="0.2">
      <c r="A50" s="41" t="s">
        <v>5</v>
      </c>
      <c r="B50" s="41"/>
      <c r="C50" s="41"/>
      <c r="D50" s="41"/>
      <c r="E50" s="41"/>
      <c r="F50" s="42"/>
      <c r="G50" s="42"/>
      <c r="H50" s="42"/>
      <c r="I50" s="42"/>
      <c r="J50" s="42"/>
      <c r="K50" s="43" t="s">
        <v>6</v>
      </c>
      <c r="L50" s="43"/>
      <c r="M50" s="3"/>
      <c r="N50" s="44" t="s">
        <v>7</v>
      </c>
      <c r="O50" s="44"/>
    </row>
    <row r="51" spans="1:15" ht="12" customHeight="1" x14ac:dyDescent="0.2">
      <c r="A51" s="41" t="s">
        <v>8</v>
      </c>
      <c r="B51" s="41"/>
      <c r="C51" s="41"/>
      <c r="D51" s="41"/>
      <c r="E51" s="41"/>
      <c r="F51" s="42"/>
      <c r="G51" s="42"/>
      <c r="H51" s="42"/>
      <c r="I51" s="42"/>
      <c r="J51" s="42"/>
      <c r="K51" s="43" t="s">
        <v>9</v>
      </c>
      <c r="L51" s="43"/>
      <c r="M51" s="3"/>
      <c r="N51" s="44" t="s">
        <v>7</v>
      </c>
      <c r="O51" s="44"/>
    </row>
    <row r="52" spans="1:15" ht="12.2" customHeight="1" x14ac:dyDescent="0.2">
      <c r="A52" t="s">
        <v>10</v>
      </c>
    </row>
    <row r="53" spans="1:15" ht="9.9499999999999993" customHeight="1" x14ac:dyDescent="0.2">
      <c r="A53" s="4" t="s">
        <v>11</v>
      </c>
      <c r="B53" s="4" t="s">
        <v>12</v>
      </c>
      <c r="C53" s="45" t="s">
        <v>13</v>
      </c>
      <c r="D53" s="46"/>
      <c r="E53" s="46"/>
      <c r="F53" s="47"/>
      <c r="G53" s="4" t="s">
        <v>14</v>
      </c>
      <c r="H53" s="4" t="s">
        <v>15</v>
      </c>
      <c r="I53" s="4" t="s">
        <v>16</v>
      </c>
      <c r="J53" s="45" t="s">
        <v>17</v>
      </c>
      <c r="K53" s="46"/>
      <c r="L53" s="47"/>
      <c r="M53" s="45" t="s">
        <v>18</v>
      </c>
      <c r="N53" s="47"/>
      <c r="O53" s="4" t="s">
        <v>19</v>
      </c>
    </row>
    <row r="54" spans="1:15" ht="9" customHeight="1" x14ac:dyDescent="0.2">
      <c r="A54" s="5" t="s">
        <v>20</v>
      </c>
      <c r="B54" s="6"/>
      <c r="C54" s="45" t="s">
        <v>21</v>
      </c>
      <c r="D54" s="46"/>
      <c r="E54" s="46"/>
      <c r="F54" s="47"/>
      <c r="G54" s="48" t="s">
        <v>22</v>
      </c>
      <c r="H54" s="49"/>
      <c r="I54" s="14" t="s">
        <v>23</v>
      </c>
      <c r="J54" s="50" t="s">
        <v>24</v>
      </c>
      <c r="K54" s="51"/>
      <c r="L54" s="7" t="s">
        <v>25</v>
      </c>
      <c r="M54" s="50" t="s">
        <v>26</v>
      </c>
      <c r="N54" s="51"/>
      <c r="O54" s="8" t="s">
        <v>27</v>
      </c>
    </row>
    <row r="55" spans="1:15" ht="18" customHeight="1" x14ac:dyDescent="0.2">
      <c r="A55" s="9" t="s">
        <v>28</v>
      </c>
      <c r="B55" s="10" t="s">
        <v>29</v>
      </c>
      <c r="C55" s="11" t="s">
        <v>30</v>
      </c>
      <c r="D55" s="12" t="s">
        <v>31</v>
      </c>
      <c r="E55" s="52" t="s">
        <v>32</v>
      </c>
      <c r="F55" s="53"/>
      <c r="G55" s="13" t="s">
        <v>33</v>
      </c>
      <c r="H55" s="14" t="s">
        <v>34</v>
      </c>
      <c r="I55" s="15" t="s">
        <v>35</v>
      </c>
      <c r="J55" s="54" t="s">
        <v>36</v>
      </c>
      <c r="K55" s="55"/>
      <c r="L55" s="16" t="s">
        <v>37</v>
      </c>
      <c r="M55" s="56" t="s">
        <v>38</v>
      </c>
      <c r="N55" s="57"/>
      <c r="O55" s="17"/>
    </row>
    <row r="56" spans="1:15" ht="9" customHeight="1" x14ac:dyDescent="0.2">
      <c r="A56" s="18"/>
      <c r="B56" s="19"/>
      <c r="C56" s="19"/>
      <c r="D56" s="19"/>
      <c r="E56" s="58"/>
      <c r="F56" s="59"/>
      <c r="G56" s="19"/>
      <c r="H56" s="19"/>
      <c r="I56" s="19"/>
      <c r="J56" s="60" t="s">
        <v>39</v>
      </c>
      <c r="K56" s="61"/>
      <c r="L56" s="19"/>
      <c r="M56" s="58"/>
      <c r="N56" s="59"/>
      <c r="O56" s="20">
        <v>0.05</v>
      </c>
    </row>
    <row r="57" spans="1:15" ht="9.9499999999999993" customHeight="1" x14ac:dyDescent="0.2">
      <c r="A57" s="21">
        <v>39</v>
      </c>
      <c r="B57" s="22" t="s">
        <v>77</v>
      </c>
      <c r="C57" s="23">
        <v>7414</v>
      </c>
      <c r="D57" s="24">
        <v>0</v>
      </c>
      <c r="E57" s="62">
        <v>7414</v>
      </c>
      <c r="F57" s="63"/>
      <c r="G57" s="24">
        <v>0</v>
      </c>
      <c r="H57" s="25"/>
      <c r="I57" s="25"/>
      <c r="J57" s="64">
        <f>G57+I57+H57</f>
        <v>0</v>
      </c>
      <c r="K57" s="65"/>
      <c r="L57" s="27">
        <f>J57/E57</f>
        <v>0</v>
      </c>
      <c r="M57" s="64">
        <f t="shared" ref="M57" si="4">E57-J57</f>
        <v>7414</v>
      </c>
      <c r="N57" s="65"/>
      <c r="O57" s="26">
        <f t="shared" ref="O57:O83" si="5">J57*0.05</f>
        <v>0</v>
      </c>
    </row>
    <row r="58" spans="1:15" ht="9.9499999999999993" customHeight="1" x14ac:dyDescent="0.2">
      <c r="A58" s="21">
        <v>40</v>
      </c>
      <c r="B58" s="22" t="s">
        <v>78</v>
      </c>
      <c r="C58" s="23">
        <v>424508</v>
      </c>
      <c r="D58" s="24">
        <v>0</v>
      </c>
      <c r="E58" s="62">
        <v>424508</v>
      </c>
      <c r="F58" s="63"/>
      <c r="G58" s="23">
        <v>129000</v>
      </c>
      <c r="H58" s="25"/>
      <c r="I58" s="25"/>
      <c r="J58" s="64">
        <f t="shared" ref="J58:J83" si="6">G58+I58+H58</f>
        <v>129000</v>
      </c>
      <c r="K58" s="65"/>
      <c r="L58" s="27">
        <f t="shared" ref="L58:L89" si="7">J58/E58</f>
        <v>0.30388119894089155</v>
      </c>
      <c r="M58" s="64">
        <f t="shared" ref="M58:M89" si="8">E58-J58</f>
        <v>295508</v>
      </c>
      <c r="N58" s="65"/>
      <c r="O58" s="26">
        <f t="shared" si="5"/>
        <v>6450</v>
      </c>
    </row>
    <row r="59" spans="1:15" ht="9.9499999999999993" customHeight="1" x14ac:dyDescent="0.2">
      <c r="A59" s="21">
        <v>41</v>
      </c>
      <c r="B59" s="22" t="s">
        <v>79</v>
      </c>
      <c r="C59" s="23">
        <v>415951</v>
      </c>
      <c r="D59" s="23">
        <v>-7000</v>
      </c>
      <c r="E59" s="62">
        <v>408951</v>
      </c>
      <c r="F59" s="63"/>
      <c r="G59" s="23">
        <v>4015</v>
      </c>
      <c r="H59" s="25"/>
      <c r="I59" s="25"/>
      <c r="J59" s="64">
        <f t="shared" si="6"/>
        <v>4015</v>
      </c>
      <c r="K59" s="65"/>
      <c r="L59" s="27">
        <f t="shared" si="7"/>
        <v>9.8178021327738531E-3</v>
      </c>
      <c r="M59" s="64">
        <f t="shared" si="8"/>
        <v>404936</v>
      </c>
      <c r="N59" s="65"/>
      <c r="O59" s="26">
        <f t="shared" si="5"/>
        <v>200.75</v>
      </c>
    </row>
    <row r="60" spans="1:15" ht="9.9499999999999993" customHeight="1" x14ac:dyDescent="0.2">
      <c r="A60" s="21">
        <v>42</v>
      </c>
      <c r="B60" s="22" t="s">
        <v>80</v>
      </c>
      <c r="C60" s="23">
        <v>1352896</v>
      </c>
      <c r="D60" s="24">
        <v>0</v>
      </c>
      <c r="E60" s="62">
        <v>1352896</v>
      </c>
      <c r="F60" s="63"/>
      <c r="G60" s="23">
        <v>71900</v>
      </c>
      <c r="H60" s="23">
        <f>282637.83*1.05</f>
        <v>296769.72150000004</v>
      </c>
      <c r="I60" s="25"/>
      <c r="J60" s="64">
        <f t="shared" si="6"/>
        <v>368669.72150000004</v>
      </c>
      <c r="K60" s="65"/>
      <c r="L60" s="27">
        <f t="shared" si="7"/>
        <v>0.27250411081117842</v>
      </c>
      <c r="M60" s="64">
        <f t="shared" si="8"/>
        <v>984226.27850000001</v>
      </c>
      <c r="N60" s="65"/>
      <c r="O60" s="26">
        <f t="shared" si="5"/>
        <v>18433.486075000004</v>
      </c>
    </row>
    <row r="61" spans="1:15" ht="9.9499999999999993" customHeight="1" x14ac:dyDescent="0.2">
      <c r="A61" s="21">
        <v>43</v>
      </c>
      <c r="B61" s="22" t="s">
        <v>81</v>
      </c>
      <c r="C61" s="23">
        <v>6700</v>
      </c>
      <c r="D61" s="24">
        <v>0</v>
      </c>
      <c r="E61" s="62">
        <v>6700</v>
      </c>
      <c r="F61" s="63"/>
      <c r="G61" s="23">
        <v>5905</v>
      </c>
      <c r="H61" s="25"/>
      <c r="I61" s="25"/>
      <c r="J61" s="64">
        <f t="shared" si="6"/>
        <v>5905</v>
      </c>
      <c r="K61" s="65"/>
      <c r="L61" s="27">
        <f t="shared" si="7"/>
        <v>0.88134328358208958</v>
      </c>
      <c r="M61" s="64">
        <f t="shared" si="8"/>
        <v>795</v>
      </c>
      <c r="N61" s="65"/>
      <c r="O61" s="26">
        <f t="shared" si="5"/>
        <v>295.25</v>
      </c>
    </row>
    <row r="62" spans="1:15" ht="9.9499999999999993" customHeight="1" x14ac:dyDescent="0.2">
      <c r="A62" s="21">
        <v>44</v>
      </c>
      <c r="B62" s="22" t="s">
        <v>82</v>
      </c>
      <c r="C62" s="24">
        <v>350</v>
      </c>
      <c r="D62" s="24">
        <v>0</v>
      </c>
      <c r="E62" s="66">
        <v>350</v>
      </c>
      <c r="F62" s="67"/>
      <c r="G62" s="24">
        <v>0</v>
      </c>
      <c r="H62" s="25"/>
      <c r="I62" s="25"/>
      <c r="J62" s="64">
        <f t="shared" si="6"/>
        <v>0</v>
      </c>
      <c r="K62" s="65"/>
      <c r="L62" s="27">
        <f t="shared" si="7"/>
        <v>0</v>
      </c>
      <c r="M62" s="64">
        <f t="shared" si="8"/>
        <v>350</v>
      </c>
      <c r="N62" s="65"/>
      <c r="O62" s="26">
        <f t="shared" si="5"/>
        <v>0</v>
      </c>
    </row>
    <row r="63" spans="1:15" ht="9.9499999999999993" customHeight="1" x14ac:dyDescent="0.2">
      <c r="A63" s="21">
        <v>45</v>
      </c>
      <c r="B63" s="22" t="s">
        <v>83</v>
      </c>
      <c r="C63" s="23">
        <v>28500</v>
      </c>
      <c r="D63" s="24">
        <v>0</v>
      </c>
      <c r="E63" s="62">
        <v>28500</v>
      </c>
      <c r="F63" s="63"/>
      <c r="G63" s="24">
        <v>0</v>
      </c>
      <c r="H63" s="25"/>
      <c r="I63" s="25"/>
      <c r="J63" s="64">
        <f t="shared" si="6"/>
        <v>0</v>
      </c>
      <c r="K63" s="65"/>
      <c r="L63" s="27">
        <f t="shared" si="7"/>
        <v>0</v>
      </c>
      <c r="M63" s="64">
        <f t="shared" si="8"/>
        <v>28500</v>
      </c>
      <c r="N63" s="65"/>
      <c r="O63" s="26">
        <f t="shared" si="5"/>
        <v>0</v>
      </c>
    </row>
    <row r="64" spans="1:15" ht="9.9499999999999993" customHeight="1" x14ac:dyDescent="0.2">
      <c r="A64" s="21">
        <v>46</v>
      </c>
      <c r="B64" s="22" t="s">
        <v>84</v>
      </c>
      <c r="C64" s="23">
        <v>31238</v>
      </c>
      <c r="D64" s="24">
        <v>0</v>
      </c>
      <c r="E64" s="62">
        <v>31238</v>
      </c>
      <c r="F64" s="63"/>
      <c r="G64" s="23">
        <v>15619.14</v>
      </c>
      <c r="H64" s="25"/>
      <c r="I64" s="25"/>
      <c r="J64" s="64">
        <f t="shared" si="6"/>
        <v>15619.14</v>
      </c>
      <c r="K64" s="65"/>
      <c r="L64" s="27">
        <f t="shared" si="7"/>
        <v>0.50000448172098089</v>
      </c>
      <c r="M64" s="64">
        <f t="shared" si="8"/>
        <v>15618.86</v>
      </c>
      <c r="N64" s="65"/>
      <c r="O64" s="26">
        <f t="shared" si="5"/>
        <v>780.95699999999999</v>
      </c>
    </row>
    <row r="65" spans="1:15" ht="9.9499999999999993" customHeight="1" x14ac:dyDescent="0.2">
      <c r="A65" s="21">
        <v>47</v>
      </c>
      <c r="B65" s="22" t="s">
        <v>85</v>
      </c>
      <c r="C65" s="23">
        <v>33575</v>
      </c>
      <c r="D65" s="23">
        <v>-33575</v>
      </c>
      <c r="E65" s="66">
        <v>0</v>
      </c>
      <c r="F65" s="67"/>
      <c r="G65" s="24">
        <v>0</v>
      </c>
      <c r="H65" s="25"/>
      <c r="I65" s="25"/>
      <c r="J65" s="64">
        <f t="shared" si="6"/>
        <v>0</v>
      </c>
      <c r="K65" s="65"/>
      <c r="L65" s="27">
        <v>1</v>
      </c>
      <c r="M65" s="64">
        <f t="shared" si="8"/>
        <v>0</v>
      </c>
      <c r="N65" s="65"/>
      <c r="O65" s="26">
        <f t="shared" si="5"/>
        <v>0</v>
      </c>
    </row>
    <row r="66" spans="1:15" ht="9.9499999999999993" customHeight="1" x14ac:dyDescent="0.2">
      <c r="A66" s="21">
        <v>48</v>
      </c>
      <c r="B66" s="22" t="s">
        <v>86</v>
      </c>
      <c r="C66" s="23">
        <v>561094</v>
      </c>
      <c r="D66" s="23">
        <v>-61641</v>
      </c>
      <c r="E66" s="62">
        <v>499453</v>
      </c>
      <c r="F66" s="63"/>
      <c r="G66" s="24">
        <v>0</v>
      </c>
      <c r="H66" s="25"/>
      <c r="I66" s="25"/>
      <c r="J66" s="64">
        <f t="shared" si="6"/>
        <v>0</v>
      </c>
      <c r="K66" s="65"/>
      <c r="L66" s="27">
        <f t="shared" si="7"/>
        <v>0</v>
      </c>
      <c r="M66" s="64">
        <f t="shared" si="8"/>
        <v>499453</v>
      </c>
      <c r="N66" s="65"/>
      <c r="O66" s="26">
        <f t="shared" si="5"/>
        <v>0</v>
      </c>
    </row>
    <row r="67" spans="1:15" ht="9.9499999999999993" customHeight="1" x14ac:dyDescent="0.2">
      <c r="A67" s="21">
        <v>49</v>
      </c>
      <c r="B67" s="22" t="s">
        <v>87</v>
      </c>
      <c r="C67" s="23">
        <v>42565</v>
      </c>
      <c r="D67" s="24">
        <v>0</v>
      </c>
      <c r="E67" s="62">
        <v>42565</v>
      </c>
      <c r="F67" s="63"/>
      <c r="G67" s="24">
        <v>0</v>
      </c>
      <c r="H67" s="25"/>
      <c r="I67" s="25"/>
      <c r="J67" s="64">
        <f t="shared" si="6"/>
        <v>0</v>
      </c>
      <c r="K67" s="65"/>
      <c r="L67" s="27">
        <f t="shared" si="7"/>
        <v>0</v>
      </c>
      <c r="M67" s="64">
        <f t="shared" si="8"/>
        <v>42565</v>
      </c>
      <c r="N67" s="65"/>
      <c r="O67" s="26">
        <f t="shared" si="5"/>
        <v>0</v>
      </c>
    </row>
    <row r="68" spans="1:15" ht="9.9499999999999993" customHeight="1" x14ac:dyDescent="0.2">
      <c r="A68" s="21">
        <v>50</v>
      </c>
      <c r="B68" s="22" t="s">
        <v>88</v>
      </c>
      <c r="C68" s="23">
        <v>108689</v>
      </c>
      <c r="D68" s="23">
        <v>43996.02</v>
      </c>
      <c r="E68" s="62">
        <v>152685.01999999999</v>
      </c>
      <c r="F68" s="63"/>
      <c r="G68" s="24">
        <v>0</v>
      </c>
      <c r="H68" s="25"/>
      <c r="I68" s="25"/>
      <c r="J68" s="64">
        <f t="shared" si="6"/>
        <v>0</v>
      </c>
      <c r="K68" s="65"/>
      <c r="L68" s="27">
        <f t="shared" si="7"/>
        <v>0</v>
      </c>
      <c r="M68" s="64">
        <f t="shared" si="8"/>
        <v>152685.01999999999</v>
      </c>
      <c r="N68" s="65"/>
      <c r="O68" s="26">
        <f t="shared" si="5"/>
        <v>0</v>
      </c>
    </row>
    <row r="69" spans="1:15" ht="9.9499999999999993" customHeight="1" x14ac:dyDescent="0.2">
      <c r="A69" s="21">
        <v>51</v>
      </c>
      <c r="B69" s="22" t="s">
        <v>89</v>
      </c>
      <c r="C69" s="23">
        <v>236400</v>
      </c>
      <c r="D69" s="24">
        <v>0</v>
      </c>
      <c r="E69" s="62">
        <v>236400</v>
      </c>
      <c r="F69" s="63"/>
      <c r="G69" s="23">
        <v>23640</v>
      </c>
      <c r="H69" s="25"/>
      <c r="I69" s="25"/>
      <c r="J69" s="64">
        <f t="shared" si="6"/>
        <v>23640</v>
      </c>
      <c r="K69" s="65"/>
      <c r="L69" s="27">
        <f t="shared" si="7"/>
        <v>0.1</v>
      </c>
      <c r="M69" s="64">
        <f t="shared" si="8"/>
        <v>212760</v>
      </c>
      <c r="N69" s="65"/>
      <c r="O69" s="26">
        <f t="shared" si="5"/>
        <v>1182</v>
      </c>
    </row>
    <row r="70" spans="1:15" ht="9.9499999999999993" customHeight="1" x14ac:dyDescent="0.2">
      <c r="A70" s="21">
        <v>52</v>
      </c>
      <c r="B70" s="22" t="s">
        <v>90</v>
      </c>
      <c r="C70" s="23">
        <v>19195</v>
      </c>
      <c r="D70" s="23">
        <v>1090</v>
      </c>
      <c r="E70" s="62">
        <v>20285</v>
      </c>
      <c r="F70" s="63"/>
      <c r="G70" s="23">
        <v>14930</v>
      </c>
      <c r="H70" s="25"/>
      <c r="I70" s="25"/>
      <c r="J70" s="64">
        <f t="shared" si="6"/>
        <v>14930</v>
      </c>
      <c r="K70" s="65"/>
      <c r="L70" s="27">
        <f t="shared" si="7"/>
        <v>0.73601183140251414</v>
      </c>
      <c r="M70" s="64">
        <f t="shared" si="8"/>
        <v>5355</v>
      </c>
      <c r="N70" s="65"/>
      <c r="O70" s="26">
        <f t="shared" si="5"/>
        <v>746.5</v>
      </c>
    </row>
    <row r="71" spans="1:15" ht="9.9499999999999993" customHeight="1" x14ac:dyDescent="0.2">
      <c r="A71" s="21">
        <v>53</v>
      </c>
      <c r="B71" s="22" t="s">
        <v>91</v>
      </c>
      <c r="C71" s="23">
        <v>226650</v>
      </c>
      <c r="D71" s="23">
        <v>53608</v>
      </c>
      <c r="E71" s="62">
        <v>280258</v>
      </c>
      <c r="F71" s="63"/>
      <c r="G71" s="23">
        <v>140129</v>
      </c>
      <c r="H71" s="23">
        <f>92025.08*1.05</f>
        <v>96626.334000000003</v>
      </c>
      <c r="I71" s="25"/>
      <c r="J71" s="64">
        <f t="shared" si="6"/>
        <v>236755.334</v>
      </c>
      <c r="K71" s="65"/>
      <c r="L71" s="27">
        <f t="shared" si="7"/>
        <v>0.84477636320818672</v>
      </c>
      <c r="M71" s="64">
        <f t="shared" si="8"/>
        <v>43502.665999999997</v>
      </c>
      <c r="N71" s="65"/>
      <c r="O71" s="26">
        <f t="shared" si="5"/>
        <v>11837.7667</v>
      </c>
    </row>
    <row r="72" spans="1:15" ht="9.9499999999999993" customHeight="1" x14ac:dyDescent="0.2">
      <c r="A72" s="21">
        <v>54</v>
      </c>
      <c r="B72" s="22" t="s">
        <v>92</v>
      </c>
      <c r="C72" s="23">
        <v>311952</v>
      </c>
      <c r="D72" s="23">
        <v>7107.84</v>
      </c>
      <c r="E72" s="62">
        <v>319059.84000000003</v>
      </c>
      <c r="F72" s="63"/>
      <c r="G72" s="23">
        <v>272267.48</v>
      </c>
      <c r="H72" s="25"/>
      <c r="I72" s="25"/>
      <c r="J72" s="64">
        <f t="shared" si="6"/>
        <v>272267.48</v>
      </c>
      <c r="K72" s="65"/>
      <c r="L72" s="27">
        <f t="shared" si="7"/>
        <v>0.85334299672437608</v>
      </c>
      <c r="M72" s="64">
        <f t="shared" si="8"/>
        <v>46792.360000000044</v>
      </c>
      <c r="N72" s="65"/>
      <c r="O72" s="26">
        <f t="shared" si="5"/>
        <v>13613.374</v>
      </c>
    </row>
    <row r="73" spans="1:15" ht="9.9499999999999993" customHeight="1" x14ac:dyDescent="0.2">
      <c r="A73" s="21">
        <v>55</v>
      </c>
      <c r="B73" s="22" t="s">
        <v>93</v>
      </c>
      <c r="C73" s="23">
        <v>89200</v>
      </c>
      <c r="D73" s="23">
        <v>-16957</v>
      </c>
      <c r="E73" s="62">
        <v>72243</v>
      </c>
      <c r="F73" s="63"/>
      <c r="G73" s="23">
        <v>72243</v>
      </c>
      <c r="H73" s="25"/>
      <c r="I73" s="25"/>
      <c r="J73" s="64">
        <f t="shared" si="6"/>
        <v>72243</v>
      </c>
      <c r="K73" s="65"/>
      <c r="L73" s="27">
        <f t="shared" si="7"/>
        <v>1</v>
      </c>
      <c r="M73" s="64">
        <f t="shared" si="8"/>
        <v>0</v>
      </c>
      <c r="N73" s="65"/>
      <c r="O73" s="26">
        <f t="shared" si="5"/>
        <v>3612.15</v>
      </c>
    </row>
    <row r="74" spans="1:15" ht="9.9499999999999993" customHeight="1" x14ac:dyDescent="0.2">
      <c r="A74" s="21">
        <v>56</v>
      </c>
      <c r="B74" s="22" t="s">
        <v>94</v>
      </c>
      <c r="C74" s="23">
        <v>1638000</v>
      </c>
      <c r="D74" s="23">
        <v>-100828.5</v>
      </c>
      <c r="E74" s="62">
        <v>1537171.5</v>
      </c>
      <c r="F74" s="63"/>
      <c r="G74" s="23">
        <v>1249584.5</v>
      </c>
      <c r="H74" s="23">
        <f>62244*1.05</f>
        <v>65356.200000000004</v>
      </c>
      <c r="I74" s="25"/>
      <c r="J74" s="64">
        <f t="shared" si="6"/>
        <v>1314940.7</v>
      </c>
      <c r="K74" s="65"/>
      <c r="L74" s="27">
        <f t="shared" si="7"/>
        <v>0.85542875339544089</v>
      </c>
      <c r="M74" s="64">
        <f t="shared" si="8"/>
        <v>222230.80000000005</v>
      </c>
      <c r="N74" s="65"/>
      <c r="O74" s="26">
        <f t="shared" si="5"/>
        <v>65747.035000000003</v>
      </c>
    </row>
    <row r="75" spans="1:15" ht="9.9499999999999993" customHeight="1" x14ac:dyDescent="0.2">
      <c r="A75" s="18"/>
      <c r="B75" s="22" t="s">
        <v>95</v>
      </c>
      <c r="C75" s="23">
        <v>2013439</v>
      </c>
      <c r="D75" s="23">
        <v>-467269</v>
      </c>
      <c r="E75" s="62">
        <v>1546170</v>
      </c>
      <c r="F75" s="63"/>
      <c r="G75" s="23">
        <v>1136567</v>
      </c>
      <c r="H75" s="23">
        <f>19000*1.05</f>
        <v>19950</v>
      </c>
      <c r="I75" s="25"/>
      <c r="J75" s="64">
        <f t="shared" si="6"/>
        <v>1156517</v>
      </c>
      <c r="K75" s="65"/>
      <c r="L75" s="27">
        <f t="shared" si="7"/>
        <v>0.74798825484907872</v>
      </c>
      <c r="M75" s="64">
        <f t="shared" si="8"/>
        <v>389653</v>
      </c>
      <c r="N75" s="65"/>
      <c r="O75" s="26">
        <f t="shared" si="5"/>
        <v>57825.850000000006</v>
      </c>
    </row>
    <row r="76" spans="1:15" ht="9.9499999999999993" customHeight="1" x14ac:dyDescent="0.2">
      <c r="A76" s="21">
        <v>57</v>
      </c>
      <c r="B76" s="22" t="s">
        <v>96</v>
      </c>
      <c r="C76" s="23">
        <v>1552213</v>
      </c>
      <c r="D76" s="23">
        <v>72461.7</v>
      </c>
      <c r="E76" s="62">
        <v>1624674.7</v>
      </c>
      <c r="F76" s="63"/>
      <c r="G76" s="23">
        <v>1007417.26</v>
      </c>
      <c r="H76" s="23">
        <f>136597.82*1.05</f>
        <v>143427.71100000001</v>
      </c>
      <c r="I76" s="25"/>
      <c r="J76" s="64">
        <f t="shared" si="6"/>
        <v>1150844.9709999999</v>
      </c>
      <c r="K76" s="65"/>
      <c r="L76" s="27">
        <f t="shared" si="7"/>
        <v>0.70835409143750439</v>
      </c>
      <c r="M76" s="64">
        <f t="shared" si="8"/>
        <v>473829.72900000005</v>
      </c>
      <c r="N76" s="65"/>
      <c r="O76" s="26">
        <f t="shared" si="5"/>
        <v>57542.248549999997</v>
      </c>
    </row>
    <row r="77" spans="1:15" ht="9.9499999999999993" customHeight="1" x14ac:dyDescent="0.2">
      <c r="A77" s="21">
        <v>58</v>
      </c>
      <c r="B77" s="22" t="s">
        <v>97</v>
      </c>
      <c r="C77" s="23">
        <v>15000</v>
      </c>
      <c r="D77" s="23">
        <v>-7500</v>
      </c>
      <c r="E77" s="62">
        <v>7500</v>
      </c>
      <c r="F77" s="63"/>
      <c r="G77" s="23">
        <v>7500</v>
      </c>
      <c r="H77" s="25"/>
      <c r="I77" s="25"/>
      <c r="J77" s="64">
        <f t="shared" si="6"/>
        <v>7500</v>
      </c>
      <c r="K77" s="65"/>
      <c r="L77" s="27">
        <f t="shared" si="7"/>
        <v>1</v>
      </c>
      <c r="M77" s="64">
        <f t="shared" si="8"/>
        <v>0</v>
      </c>
      <c r="N77" s="65"/>
      <c r="O77" s="26">
        <f t="shared" si="5"/>
        <v>375</v>
      </c>
    </row>
    <row r="78" spans="1:15" ht="9.9499999999999993" customHeight="1" x14ac:dyDescent="0.2">
      <c r="A78" s="21">
        <v>59</v>
      </c>
      <c r="B78" s="22" t="s">
        <v>98</v>
      </c>
      <c r="C78" s="23">
        <v>18000</v>
      </c>
      <c r="D78" s="24">
        <v>0</v>
      </c>
      <c r="E78" s="62">
        <v>18000</v>
      </c>
      <c r="F78" s="63"/>
      <c r="G78" s="24">
        <v>0</v>
      </c>
      <c r="H78" s="25"/>
      <c r="I78" s="25"/>
      <c r="J78" s="64">
        <f t="shared" si="6"/>
        <v>0</v>
      </c>
      <c r="K78" s="65"/>
      <c r="L78" s="27">
        <f t="shared" si="7"/>
        <v>0</v>
      </c>
      <c r="M78" s="64">
        <f t="shared" si="8"/>
        <v>18000</v>
      </c>
      <c r="N78" s="65"/>
      <c r="O78" s="26">
        <f t="shared" si="5"/>
        <v>0</v>
      </c>
    </row>
    <row r="79" spans="1:15" ht="9.9499999999999993" customHeight="1" x14ac:dyDescent="0.2">
      <c r="A79" s="21">
        <v>60</v>
      </c>
      <c r="B79" s="22" t="s">
        <v>99</v>
      </c>
      <c r="C79" s="23">
        <v>1041238</v>
      </c>
      <c r="D79" s="23">
        <v>140042.72</v>
      </c>
      <c r="E79" s="62">
        <v>1181280.72</v>
      </c>
      <c r="F79" s="63"/>
      <c r="G79" s="23">
        <v>1082476.72</v>
      </c>
      <c r="H79" s="25"/>
      <c r="I79" s="25"/>
      <c r="J79" s="64">
        <f t="shared" si="6"/>
        <v>1082476.72</v>
      </c>
      <c r="K79" s="65"/>
      <c r="L79" s="27">
        <f t="shared" si="7"/>
        <v>0.91635857732444836</v>
      </c>
      <c r="M79" s="64">
        <f t="shared" si="8"/>
        <v>98804</v>
      </c>
      <c r="N79" s="65"/>
      <c r="O79" s="26">
        <f t="shared" si="5"/>
        <v>54123.836000000003</v>
      </c>
    </row>
    <row r="80" spans="1:15" ht="9.9499999999999993" customHeight="1" x14ac:dyDescent="0.2">
      <c r="A80" s="21">
        <v>61</v>
      </c>
      <c r="B80" s="22" t="s">
        <v>100</v>
      </c>
      <c r="C80" s="23">
        <v>91951</v>
      </c>
      <c r="D80" s="23">
        <v>-77256.22</v>
      </c>
      <c r="E80" s="62">
        <v>14694.78</v>
      </c>
      <c r="F80" s="63"/>
      <c r="G80" s="23">
        <v>17240.810000000001</v>
      </c>
      <c r="H80" s="25"/>
      <c r="I80" s="25"/>
      <c r="J80" s="64">
        <f t="shared" si="6"/>
        <v>17240.810000000001</v>
      </c>
      <c r="K80" s="65"/>
      <c r="L80" s="27">
        <f t="shared" si="7"/>
        <v>1.173260845007547</v>
      </c>
      <c r="M80" s="64">
        <f t="shared" si="8"/>
        <v>-2546.0300000000007</v>
      </c>
      <c r="N80" s="65"/>
      <c r="O80" s="26">
        <f t="shared" si="5"/>
        <v>862.04050000000007</v>
      </c>
    </row>
    <row r="81" spans="1:15" ht="9.9499999999999993" customHeight="1" x14ac:dyDescent="0.2">
      <c r="A81" s="21">
        <v>62</v>
      </c>
      <c r="B81" s="22" t="s">
        <v>101</v>
      </c>
      <c r="C81" s="23">
        <v>170414</v>
      </c>
      <c r="D81" s="23">
        <v>-21969.02</v>
      </c>
      <c r="E81" s="62">
        <v>148444.98000000001</v>
      </c>
      <c r="F81" s="63"/>
      <c r="G81" s="24">
        <v>0</v>
      </c>
      <c r="H81" s="25"/>
      <c r="I81" s="25"/>
      <c r="J81" s="64">
        <f t="shared" si="6"/>
        <v>0</v>
      </c>
      <c r="K81" s="65"/>
      <c r="L81" s="27">
        <f t="shared" si="7"/>
        <v>0</v>
      </c>
      <c r="M81" s="64">
        <f t="shared" si="8"/>
        <v>148444.98000000001</v>
      </c>
      <c r="N81" s="65"/>
      <c r="O81" s="26">
        <f t="shared" si="5"/>
        <v>0</v>
      </c>
    </row>
    <row r="82" spans="1:15" ht="9.9499999999999993" customHeight="1" x14ac:dyDescent="0.2">
      <c r="A82" s="21">
        <v>63</v>
      </c>
      <c r="B82" s="22" t="s">
        <v>102</v>
      </c>
      <c r="C82" s="23">
        <v>76736</v>
      </c>
      <c r="D82" s="23">
        <v>12093</v>
      </c>
      <c r="E82" s="62">
        <v>88829</v>
      </c>
      <c r="F82" s="63"/>
      <c r="G82" s="24">
        <v>0</v>
      </c>
      <c r="H82" s="25"/>
      <c r="I82" s="25"/>
      <c r="J82" s="64">
        <f t="shared" si="6"/>
        <v>0</v>
      </c>
      <c r="K82" s="65"/>
      <c r="L82" s="27">
        <f t="shared" si="7"/>
        <v>0</v>
      </c>
      <c r="M82" s="64">
        <f t="shared" si="8"/>
        <v>88829</v>
      </c>
      <c r="N82" s="65"/>
      <c r="O82" s="26">
        <f t="shared" si="5"/>
        <v>0</v>
      </c>
    </row>
    <row r="83" spans="1:15" ht="10.7" customHeight="1" x14ac:dyDescent="0.2">
      <c r="A83" s="21">
        <v>64</v>
      </c>
      <c r="B83" s="22" t="s">
        <v>103</v>
      </c>
      <c r="C83" s="23">
        <v>137413</v>
      </c>
      <c r="D83" s="24">
        <v>0</v>
      </c>
      <c r="E83" s="62">
        <v>137413</v>
      </c>
      <c r="F83" s="63"/>
      <c r="G83" s="24">
        <v>0</v>
      </c>
      <c r="H83" s="25"/>
      <c r="I83" s="25"/>
      <c r="J83" s="64">
        <f t="shared" ref="J83:J89" si="9">G83+I83+H83</f>
        <v>0</v>
      </c>
      <c r="K83" s="65"/>
      <c r="L83" s="27">
        <f t="shared" si="7"/>
        <v>0</v>
      </c>
      <c r="M83" s="64">
        <f t="shared" si="8"/>
        <v>137413</v>
      </c>
      <c r="N83" s="65"/>
      <c r="O83" s="26">
        <f t="shared" si="5"/>
        <v>0</v>
      </c>
    </row>
    <row r="84" spans="1:15" ht="10.7" customHeight="1" x14ac:dyDescent="0.2">
      <c r="A84" s="18"/>
      <c r="B84" s="29" t="s">
        <v>104</v>
      </c>
      <c r="C84" s="30">
        <v>20852784</v>
      </c>
      <c r="D84" s="30">
        <v>526463.17000000004</v>
      </c>
      <c r="E84" s="68">
        <v>21379247.16</v>
      </c>
      <c r="F84" s="69"/>
      <c r="G84" s="30">
        <v>13319655.51</v>
      </c>
      <c r="H84" s="30">
        <f>SUM(H57:H83)+SUM(H10:H47)</f>
        <v>865135.08900000015</v>
      </c>
      <c r="I84" s="31">
        <v>0</v>
      </c>
      <c r="J84" s="77">
        <f t="shared" si="9"/>
        <v>14184790.598999999</v>
      </c>
      <c r="K84" s="78"/>
      <c r="L84" s="70">
        <f t="shared" si="7"/>
        <v>0.66348410179472384</v>
      </c>
      <c r="M84" s="71">
        <f t="shared" si="8"/>
        <v>7194456.5610000007</v>
      </c>
      <c r="N84" s="72"/>
      <c r="O84" s="75">
        <f>SUM(O57:O83)+SUM(O10:O47)</f>
        <v>709239.52695000009</v>
      </c>
    </row>
    <row r="85" spans="1:15" ht="9.9499999999999993" customHeight="1" x14ac:dyDescent="0.2">
      <c r="A85" s="18"/>
      <c r="B85" s="32" t="s">
        <v>105</v>
      </c>
      <c r="C85" s="23">
        <v>561532</v>
      </c>
      <c r="D85" s="23">
        <v>-526464.17000000004</v>
      </c>
      <c r="E85" s="62">
        <v>35067.83</v>
      </c>
      <c r="F85" s="63"/>
      <c r="G85" s="24">
        <v>0</v>
      </c>
      <c r="H85" s="25"/>
      <c r="I85" s="25"/>
      <c r="J85" s="79">
        <f t="shared" si="9"/>
        <v>0</v>
      </c>
      <c r="K85" s="80"/>
      <c r="L85" s="27">
        <f t="shared" si="7"/>
        <v>0</v>
      </c>
      <c r="M85" s="73">
        <f t="shared" si="8"/>
        <v>35067.83</v>
      </c>
      <c r="N85" s="74"/>
      <c r="O85" s="76">
        <v>0</v>
      </c>
    </row>
    <row r="86" spans="1:15" ht="9.9499999999999993" customHeight="1" x14ac:dyDescent="0.2">
      <c r="A86" s="18"/>
      <c r="B86" s="32" t="s">
        <v>106</v>
      </c>
      <c r="C86" s="23">
        <v>893302</v>
      </c>
      <c r="D86" s="24">
        <v>0</v>
      </c>
      <c r="E86" s="62">
        <v>893302</v>
      </c>
      <c r="F86" s="63"/>
      <c r="G86" s="23">
        <v>550274.03</v>
      </c>
      <c r="H86" s="25"/>
      <c r="I86" s="25"/>
      <c r="J86" s="79">
        <f t="shared" si="9"/>
        <v>550274.03</v>
      </c>
      <c r="K86" s="80"/>
      <c r="L86" s="27">
        <f t="shared" si="7"/>
        <v>0.61599999776111558</v>
      </c>
      <c r="M86" s="73">
        <f t="shared" si="8"/>
        <v>343027.97</v>
      </c>
      <c r="N86" s="74"/>
      <c r="O86" s="76">
        <v>0</v>
      </c>
    </row>
    <row r="87" spans="1:15" ht="9.9499999999999993" customHeight="1" x14ac:dyDescent="0.2">
      <c r="A87" s="18"/>
      <c r="B87" s="32" t="s">
        <v>107</v>
      </c>
      <c r="C87" s="23">
        <v>257161</v>
      </c>
      <c r="D87" s="24">
        <v>0</v>
      </c>
      <c r="E87" s="62">
        <v>257161</v>
      </c>
      <c r="F87" s="63"/>
      <c r="G87" s="23">
        <v>257161</v>
      </c>
      <c r="H87" s="25"/>
      <c r="I87" s="25"/>
      <c r="J87" s="79">
        <f t="shared" si="9"/>
        <v>257161</v>
      </c>
      <c r="K87" s="80"/>
      <c r="L87" s="27">
        <f t="shared" si="7"/>
        <v>1</v>
      </c>
      <c r="M87" s="73">
        <f t="shared" si="8"/>
        <v>0</v>
      </c>
      <c r="N87" s="74"/>
      <c r="O87" s="76">
        <v>0</v>
      </c>
    </row>
    <row r="88" spans="1:15" ht="10.7" customHeight="1" x14ac:dyDescent="0.2">
      <c r="A88" s="18"/>
      <c r="B88" s="32" t="s">
        <v>108</v>
      </c>
      <c r="C88" s="23">
        <v>1028648</v>
      </c>
      <c r="D88" s="24">
        <v>0</v>
      </c>
      <c r="E88" s="62">
        <v>1028648</v>
      </c>
      <c r="F88" s="63"/>
      <c r="G88" s="23">
        <v>390886.24</v>
      </c>
      <c r="H88" s="25"/>
      <c r="I88" s="25"/>
      <c r="J88" s="79">
        <f t="shared" si="9"/>
        <v>390886.24</v>
      </c>
      <c r="K88" s="80"/>
      <c r="L88" s="27">
        <f t="shared" si="7"/>
        <v>0.38</v>
      </c>
      <c r="M88" s="73">
        <f t="shared" si="8"/>
        <v>637761.76</v>
      </c>
      <c r="N88" s="74"/>
      <c r="O88" s="76">
        <v>0</v>
      </c>
    </row>
    <row r="89" spans="1:15" ht="12" customHeight="1" x14ac:dyDescent="0.2">
      <c r="A89" s="19"/>
      <c r="B89" s="33" t="s">
        <v>109</v>
      </c>
      <c r="C89" s="30">
        <v>23593427</v>
      </c>
      <c r="D89" s="31">
        <v>-1</v>
      </c>
      <c r="E89" s="68">
        <v>23593425.989999998</v>
      </c>
      <c r="F89" s="69"/>
      <c r="G89" s="30">
        <v>14517976.779999999</v>
      </c>
      <c r="H89" s="30">
        <v>823938.18</v>
      </c>
      <c r="I89" s="31">
        <v>0</v>
      </c>
      <c r="J89" s="77">
        <f t="shared" si="9"/>
        <v>15341914.959999999</v>
      </c>
      <c r="K89" s="78"/>
      <c r="L89" s="70">
        <f t="shared" si="7"/>
        <v>0.65026227926807334</v>
      </c>
      <c r="M89" s="71">
        <f t="shared" si="8"/>
        <v>8251511.0299999993</v>
      </c>
      <c r="N89" s="72"/>
      <c r="O89" s="75">
        <v>707179.68</v>
      </c>
    </row>
  </sheetData>
  <mergeCells count="271"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75:F75"/>
    <mergeCell ref="J75:K75"/>
    <mergeCell ref="M75:N75"/>
    <mergeCell ref="E76:F76"/>
    <mergeCell ref="J76:K76"/>
    <mergeCell ref="M76:N76"/>
    <mergeCell ref="E77:F77"/>
    <mergeCell ref="J77:K77"/>
    <mergeCell ref="M77:N77"/>
    <mergeCell ref="E72:F72"/>
    <mergeCell ref="J72:K72"/>
    <mergeCell ref="M72:N72"/>
    <mergeCell ref="E73:F73"/>
    <mergeCell ref="J73:K73"/>
    <mergeCell ref="M73:N73"/>
    <mergeCell ref="E74:F74"/>
    <mergeCell ref="J74:K74"/>
    <mergeCell ref="M74:N74"/>
    <mergeCell ref="E69:F69"/>
    <mergeCell ref="J69:K69"/>
    <mergeCell ref="M69:N69"/>
    <mergeCell ref="E70:F70"/>
    <mergeCell ref="J70:K70"/>
    <mergeCell ref="M70:N70"/>
    <mergeCell ref="E71:F71"/>
    <mergeCell ref="J71:K71"/>
    <mergeCell ref="M71:N71"/>
    <mergeCell ref="E66:F66"/>
    <mergeCell ref="J66:K66"/>
    <mergeCell ref="M66:N66"/>
    <mergeCell ref="E67:F67"/>
    <mergeCell ref="J67:K67"/>
    <mergeCell ref="M67:N67"/>
    <mergeCell ref="E68:F68"/>
    <mergeCell ref="J68:K68"/>
    <mergeCell ref="M68:N68"/>
    <mergeCell ref="E63:F63"/>
    <mergeCell ref="J63:K63"/>
    <mergeCell ref="M63:N63"/>
    <mergeCell ref="E64:F64"/>
    <mergeCell ref="J64:K64"/>
    <mergeCell ref="M64:N64"/>
    <mergeCell ref="E65:F65"/>
    <mergeCell ref="J65:K65"/>
    <mergeCell ref="M65:N65"/>
    <mergeCell ref="E60:F60"/>
    <mergeCell ref="J60:K60"/>
    <mergeCell ref="M60:N60"/>
    <mergeCell ref="E61:F61"/>
    <mergeCell ref="J61:K61"/>
    <mergeCell ref="M61:N61"/>
    <mergeCell ref="E62:F62"/>
    <mergeCell ref="J62:K62"/>
    <mergeCell ref="M62:N62"/>
    <mergeCell ref="E57:F57"/>
    <mergeCell ref="J57:K57"/>
    <mergeCell ref="M57:N57"/>
    <mergeCell ref="E58:F58"/>
    <mergeCell ref="J58:K58"/>
    <mergeCell ref="M58:N58"/>
    <mergeCell ref="E59:F59"/>
    <mergeCell ref="J59:K59"/>
    <mergeCell ref="M59:N59"/>
    <mergeCell ref="C54:F54"/>
    <mergeCell ref="G54:H54"/>
    <mergeCell ref="J54:K54"/>
    <mergeCell ref="M54:N54"/>
    <mergeCell ref="E55:F55"/>
    <mergeCell ref="J55:K55"/>
    <mergeCell ref="M55:N55"/>
    <mergeCell ref="E56:F56"/>
    <mergeCell ref="J56:K56"/>
    <mergeCell ref="M56:N56"/>
    <mergeCell ref="A50:E50"/>
    <mergeCell ref="F50:J50"/>
    <mergeCell ref="K50:L50"/>
    <mergeCell ref="N50:O50"/>
    <mergeCell ref="A51:E51"/>
    <mergeCell ref="F51:J51"/>
    <mergeCell ref="K51:L51"/>
    <mergeCell ref="N51:O51"/>
    <mergeCell ref="C53:F53"/>
    <mergeCell ref="J53:L53"/>
    <mergeCell ref="M53:N53"/>
    <mergeCell ref="E47:F47"/>
    <mergeCell ref="J47:K47"/>
    <mergeCell ref="M47:N47"/>
    <mergeCell ref="A48:E48"/>
    <mergeCell ref="F48:J48"/>
    <mergeCell ref="K48:L48"/>
    <mergeCell ref="N48:O48"/>
    <mergeCell ref="A49:E49"/>
    <mergeCell ref="F49:J49"/>
    <mergeCell ref="K49:L49"/>
    <mergeCell ref="N49:O49"/>
    <mergeCell ref="E44:F44"/>
    <mergeCell ref="J44:K44"/>
    <mergeCell ref="M44:N44"/>
    <mergeCell ref="E45:F45"/>
    <mergeCell ref="J45:K45"/>
    <mergeCell ref="M45:N45"/>
    <mergeCell ref="E46:F46"/>
    <mergeCell ref="J46:K46"/>
    <mergeCell ref="M46:N46"/>
    <mergeCell ref="E41:F41"/>
    <mergeCell ref="J41:K41"/>
    <mergeCell ref="M41:N41"/>
    <mergeCell ref="E42:F42"/>
    <mergeCell ref="J42:K42"/>
    <mergeCell ref="M42:N42"/>
    <mergeCell ref="E43:F43"/>
    <mergeCell ref="J43:K43"/>
    <mergeCell ref="M43:N43"/>
    <mergeCell ref="E38:F38"/>
    <mergeCell ref="J38:K38"/>
    <mergeCell ref="M38:N38"/>
    <mergeCell ref="E39:F39"/>
    <mergeCell ref="J39:K39"/>
    <mergeCell ref="M39:N39"/>
    <mergeCell ref="E40:F40"/>
    <mergeCell ref="J40:K40"/>
    <mergeCell ref="M40:N40"/>
    <mergeCell ref="E35:F35"/>
    <mergeCell ref="J35:K35"/>
    <mergeCell ref="M35:N35"/>
    <mergeCell ref="E36:F36"/>
    <mergeCell ref="J36:K36"/>
    <mergeCell ref="M36:N36"/>
    <mergeCell ref="E37:F37"/>
    <mergeCell ref="J37:K37"/>
    <mergeCell ref="M37:N37"/>
    <mergeCell ref="E32:F32"/>
    <mergeCell ref="J32:K32"/>
    <mergeCell ref="M32:N32"/>
    <mergeCell ref="E33:F33"/>
    <mergeCell ref="J33:K33"/>
    <mergeCell ref="M33:N33"/>
    <mergeCell ref="E34:F34"/>
    <mergeCell ref="J34:K34"/>
    <mergeCell ref="M34:N34"/>
    <mergeCell ref="E29:F29"/>
    <mergeCell ref="J29:K29"/>
    <mergeCell ref="M29:N29"/>
    <mergeCell ref="E30:F30"/>
    <mergeCell ref="J30:K30"/>
    <mergeCell ref="M30:N30"/>
    <mergeCell ref="E31:F31"/>
    <mergeCell ref="J31:K31"/>
    <mergeCell ref="M31:N31"/>
    <mergeCell ref="E26:F26"/>
    <mergeCell ref="J26:K26"/>
    <mergeCell ref="M26:N26"/>
    <mergeCell ref="E27:F27"/>
    <mergeCell ref="J27:K27"/>
    <mergeCell ref="M27:N27"/>
    <mergeCell ref="E28:F28"/>
    <mergeCell ref="J28:K28"/>
    <mergeCell ref="M28:N28"/>
    <mergeCell ref="E23:F23"/>
    <mergeCell ref="J23:K23"/>
    <mergeCell ref="M23:N23"/>
    <mergeCell ref="E24:F24"/>
    <mergeCell ref="J24:K24"/>
    <mergeCell ref="M24:N24"/>
    <mergeCell ref="E25:F25"/>
    <mergeCell ref="J25:K25"/>
    <mergeCell ref="M25:N25"/>
    <mergeCell ref="E20:F20"/>
    <mergeCell ref="J20:K20"/>
    <mergeCell ref="M20:N20"/>
    <mergeCell ref="E21:F21"/>
    <mergeCell ref="J21:K21"/>
    <mergeCell ref="M21:N21"/>
    <mergeCell ref="E22:F22"/>
    <mergeCell ref="J22:K22"/>
    <mergeCell ref="M22:N22"/>
    <mergeCell ref="E17:F17"/>
    <mergeCell ref="J17:K17"/>
    <mergeCell ref="M17:N17"/>
    <mergeCell ref="E18:F18"/>
    <mergeCell ref="J18:K18"/>
    <mergeCell ref="M18:N18"/>
    <mergeCell ref="E19:F19"/>
    <mergeCell ref="J19:K19"/>
    <mergeCell ref="M19:N19"/>
    <mergeCell ref="E14:F14"/>
    <mergeCell ref="J14:K14"/>
    <mergeCell ref="M14:N14"/>
    <mergeCell ref="E15:F15"/>
    <mergeCell ref="J15:K15"/>
    <mergeCell ref="M15:N15"/>
    <mergeCell ref="E16:F16"/>
    <mergeCell ref="J16:K16"/>
    <mergeCell ref="M16:N16"/>
    <mergeCell ref="E11:F11"/>
    <mergeCell ref="J11:K11"/>
    <mergeCell ref="M11:N11"/>
    <mergeCell ref="E12:F12"/>
    <mergeCell ref="J12:K12"/>
    <mergeCell ref="M12:N12"/>
    <mergeCell ref="E13:F13"/>
    <mergeCell ref="J13:K13"/>
    <mergeCell ref="M13:N13"/>
    <mergeCell ref="E8:F8"/>
    <mergeCell ref="J8:K8"/>
    <mergeCell ref="M8:N8"/>
    <mergeCell ref="E9:F9"/>
    <mergeCell ref="J9:K9"/>
    <mergeCell ref="M9:N9"/>
    <mergeCell ref="E10:F10"/>
    <mergeCell ref="J10:K10"/>
    <mergeCell ref="M10:N10"/>
    <mergeCell ref="A4:E4"/>
    <mergeCell ref="F4:J4"/>
    <mergeCell ref="K4:L4"/>
    <mergeCell ref="N4:O4"/>
    <mergeCell ref="C6:F6"/>
    <mergeCell ref="J6:L6"/>
    <mergeCell ref="M6:N6"/>
    <mergeCell ref="C7:F7"/>
    <mergeCell ref="G7:H7"/>
    <mergeCell ref="J7:K7"/>
    <mergeCell ref="M7:N7"/>
    <mergeCell ref="A1:E1"/>
    <mergeCell ref="F1:J1"/>
    <mergeCell ref="K1:L1"/>
    <mergeCell ref="N1:O1"/>
    <mergeCell ref="A2:E2"/>
    <mergeCell ref="F2:J2"/>
    <mergeCell ref="K2:L2"/>
    <mergeCell ref="N2:O2"/>
    <mergeCell ref="A3:E3"/>
    <mergeCell ref="F3:J3"/>
    <mergeCell ref="K3:L3"/>
    <mergeCell ref="N3:O3"/>
  </mergeCells>
  <pageMargins left="0.25" right="0.25" top="0.75" bottom="0.75" header="0.3" footer="0.3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Wilson</cp:lastModifiedBy>
  <cp:lastPrinted>2023-11-01T16:27:20Z</cp:lastPrinted>
  <dcterms:created xsi:type="dcterms:W3CDTF">2023-11-01T16:16:10Z</dcterms:created>
  <dcterms:modified xsi:type="dcterms:W3CDTF">2023-11-02T22:37:02Z</dcterms:modified>
</cp:coreProperties>
</file>