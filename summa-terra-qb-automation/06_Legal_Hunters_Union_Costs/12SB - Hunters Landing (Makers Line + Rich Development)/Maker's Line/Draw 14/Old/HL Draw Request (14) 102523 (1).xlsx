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G:\.shortcut-targets-by-id\1fkt3Xe3wDSNU3-8StUP8qu7ATEJkGMI0\Summa Terra Ventures Company Folder\Projects\Utah\Hunter's Landing\Construction\Draws\Draw 14\"/>
    </mc:Choice>
  </mc:AlternateContent>
  <xr:revisionPtr revIDLastSave="0" documentId="13_ncr:1_{30686FF2-7C62-45F9-8DA2-338A16393BC9}" xr6:coauthVersionLast="47" xr6:coauthVersionMax="47" xr10:uidLastSave="{00000000-0000-0000-0000-000000000000}"/>
  <bookViews>
    <workbookView xWindow="-120" yWindow="-120" windowWidth="29040" windowHeight="15720"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9" i="1" l="1"/>
  <c r="F51" i="1"/>
  <c r="F39" i="1"/>
  <c r="F35" i="1"/>
  <c r="F31" i="1"/>
  <c r="F29" i="1"/>
  <c r="F23" i="1"/>
  <c r="F19" i="1"/>
  <c r="F17" i="1"/>
</calcChain>
</file>

<file path=xl/sharedStrings.xml><?xml version="1.0" encoding="utf-8"?>
<sst xmlns="http://schemas.openxmlformats.org/spreadsheetml/2006/main" count="126" uniqueCount="122">
  <si>
    <r>
      <rPr>
        <sz val="5"/>
        <rFont val="Arial"/>
        <family val="2"/>
      </rPr>
      <t>DocuSign Envelope ID: 1681DF3F-DC25-4666-B12C-6C1FCB706DED</t>
    </r>
  </si>
  <si>
    <r>
      <rPr>
        <b/>
        <sz val="10.5"/>
        <rFont val="Arial"/>
        <family val="2"/>
      </rPr>
      <t>O: 801-463-3577 / F: 801-364-2553 / EMAIL:  commercialloanprocessing@ucreditu.com and ConstructionDrawRequest@ucreditu.com</t>
    </r>
  </si>
  <si>
    <r>
      <rPr>
        <b/>
        <sz val="19.5"/>
        <rFont val="Arial"/>
        <family val="2"/>
      </rPr>
      <t>BUSINESS SERVICES DEPARTMENT</t>
    </r>
  </si>
  <si>
    <r>
      <rPr>
        <b/>
        <sz val="19.5"/>
        <rFont val="Arial"/>
        <family val="2"/>
      </rPr>
      <t>BUILDER'S DRAW REQUEST FOR CONSTRUCTION ADVANCE</t>
    </r>
  </si>
  <si>
    <r>
      <rPr>
        <b/>
        <sz val="12.5"/>
        <rFont val="Arial"/>
        <family val="2"/>
      </rPr>
      <t>BORROWER &amp; PROJECT NAME:  Summa Terra Ventures, Hunters Landing</t>
    </r>
  </si>
  <si>
    <r>
      <rPr>
        <b/>
        <sz val="12.5"/>
        <rFont val="Arial"/>
        <family val="2"/>
      </rPr>
      <t>COLLATERAL ADDRESS:  407 W 12th Street, Ogden UT 84404</t>
    </r>
  </si>
  <si>
    <r>
      <rPr>
        <b/>
        <sz val="12.5"/>
        <rFont val="Arial"/>
        <family val="2"/>
      </rPr>
      <t>LOAN #:</t>
    </r>
  </si>
  <si>
    <r>
      <rPr>
        <b/>
        <sz val="12.5"/>
        <rFont val="Arial"/>
        <family val="2"/>
      </rPr>
      <t>UNIT #'S: Pay app 12</t>
    </r>
  </si>
  <si>
    <r>
      <rPr>
        <b/>
        <sz val="12"/>
        <rFont val="Arial"/>
        <family val="2"/>
      </rPr>
      <t>CAT #</t>
    </r>
  </si>
  <si>
    <r>
      <rPr>
        <b/>
        <sz val="12"/>
        <rFont val="Arial"/>
        <family val="2"/>
      </rPr>
      <t>CHECK #</t>
    </r>
  </si>
  <si>
    <r>
      <rPr>
        <b/>
        <sz val="12"/>
        <rFont val="Arial"/>
        <family val="2"/>
      </rPr>
      <t>PAYABLE TO:</t>
    </r>
  </si>
  <si>
    <r>
      <rPr>
        <b/>
        <sz val="12"/>
        <rFont val="Arial"/>
        <family val="2"/>
      </rPr>
      <t>ADDRESS</t>
    </r>
  </si>
  <si>
    <r>
      <rPr>
        <b/>
        <sz val="12"/>
        <rFont val="Arial"/>
        <family val="2"/>
      </rPr>
      <t>DESCRIPTION</t>
    </r>
  </si>
  <si>
    <r>
      <rPr>
        <b/>
        <sz val="12"/>
        <rFont val="Arial"/>
        <family val="2"/>
      </rPr>
      <t>AMOUNT</t>
    </r>
  </si>
  <si>
    <r>
      <rPr>
        <sz val="10.5"/>
        <rFont val="Arial"/>
        <family val="2"/>
      </rPr>
      <t>AAA Fire Safety &amp; Alarm</t>
    </r>
  </si>
  <si>
    <r>
      <rPr>
        <sz val="12"/>
        <rFont val="Arial"/>
        <family val="2"/>
      </rPr>
      <t>377 North Marshall W ay, Ste. 8 Layton, UT 84401</t>
    </r>
  </si>
  <si>
    <r>
      <rPr>
        <sz val="12"/>
        <rFont val="Arial"/>
        <family val="2"/>
      </rPr>
      <t>Fire Suppression</t>
    </r>
  </si>
  <si>
    <r>
      <rPr>
        <sz val="12"/>
        <rFont val="Arial"/>
        <family val="2"/>
      </rPr>
      <t>TAX ID #:  87-0624256</t>
    </r>
  </si>
  <si>
    <r>
      <rPr>
        <sz val="10.5"/>
        <rFont val="Arial"/>
        <family val="2"/>
      </rPr>
      <t>Accent Painting</t>
    </r>
  </si>
  <si>
    <r>
      <rPr>
        <sz val="12"/>
        <rFont val="Arial"/>
        <family val="2"/>
      </rPr>
      <t xml:space="preserve">PO Box 911762
</t>
    </r>
    <r>
      <rPr>
        <sz val="12"/>
        <rFont val="Arial"/>
        <family val="2"/>
      </rPr>
      <t>St. George, UT 84791</t>
    </r>
  </si>
  <si>
    <r>
      <rPr>
        <sz val="12"/>
        <rFont val="Arial"/>
        <family val="2"/>
      </rPr>
      <t>Painting</t>
    </r>
  </si>
  <si>
    <r>
      <rPr>
        <sz val="12"/>
        <rFont val="Arial"/>
        <family val="2"/>
      </rPr>
      <t>TAX ID #:   80-0135769</t>
    </r>
  </si>
  <si>
    <r>
      <rPr>
        <sz val="10.5"/>
        <rFont val="Arial"/>
        <family val="2"/>
      </rPr>
      <t>Alder Sales Corporation</t>
    </r>
  </si>
  <si>
    <r>
      <rPr>
        <sz val="12"/>
        <rFont val="Arial"/>
        <family val="2"/>
      </rPr>
      <t xml:space="preserve">6676 S 400 W
</t>
    </r>
    <r>
      <rPr>
        <sz val="12"/>
        <rFont val="Arial"/>
        <family val="2"/>
      </rPr>
      <t>Murray, UT 84107</t>
    </r>
  </si>
  <si>
    <r>
      <rPr>
        <sz val="12"/>
        <rFont val="Arial"/>
        <family val="2"/>
      </rPr>
      <t>Elevator Smoke Doors</t>
    </r>
  </si>
  <si>
    <r>
      <rPr>
        <sz val="12"/>
        <rFont val="Arial"/>
        <family val="2"/>
      </rPr>
      <t>TAX ID #:   87-0109555</t>
    </r>
  </si>
  <si>
    <r>
      <rPr>
        <sz val="10.5"/>
        <rFont val="Arial"/>
        <family val="2"/>
      </rPr>
      <t>B&amp;M Plumbing &amp; Heating</t>
    </r>
  </si>
  <si>
    <r>
      <rPr>
        <sz val="12"/>
        <rFont val="Arial"/>
        <family val="2"/>
      </rPr>
      <t xml:space="preserve">PO Box 1374
</t>
    </r>
    <r>
      <rPr>
        <sz val="12"/>
        <rFont val="Arial"/>
        <family val="2"/>
      </rPr>
      <t>Riverton, UT 84065</t>
    </r>
  </si>
  <si>
    <r>
      <rPr>
        <sz val="12"/>
        <rFont val="Arial"/>
        <family val="2"/>
      </rPr>
      <t>Plumbing</t>
    </r>
  </si>
  <si>
    <r>
      <rPr>
        <sz val="12"/>
        <rFont val="Arial"/>
        <family val="2"/>
      </rPr>
      <t>TAX ID #:   42-1569640</t>
    </r>
  </si>
  <si>
    <r>
      <rPr>
        <sz val="10.5"/>
        <rFont val="Arial"/>
        <family val="2"/>
      </rPr>
      <t>BHS Rockers</t>
    </r>
  </si>
  <si>
    <r>
      <rPr>
        <sz val="12"/>
        <rFont val="Arial"/>
        <family val="2"/>
      </rPr>
      <t xml:space="preserve">647 S 465 W , Ste 400
</t>
    </r>
    <r>
      <rPr>
        <sz val="12"/>
        <rFont val="Arial"/>
        <family val="2"/>
      </rPr>
      <t>SLC, UT 84101</t>
    </r>
  </si>
  <si>
    <r>
      <rPr>
        <sz val="12"/>
        <rFont val="Arial"/>
        <family val="2"/>
      </rPr>
      <t>Gypsum Board</t>
    </r>
  </si>
  <si>
    <r>
      <rPr>
        <sz val="12"/>
        <rFont val="Arial"/>
        <family val="2"/>
      </rPr>
      <t>TAX ID #:</t>
    </r>
  </si>
  <si>
    <r>
      <rPr>
        <sz val="10.5"/>
        <rFont val="Arial"/>
        <family val="2"/>
      </rPr>
      <t>Davis Signs Utah</t>
    </r>
  </si>
  <si>
    <r>
      <rPr>
        <sz val="12"/>
        <rFont val="Arial"/>
        <family val="2"/>
      </rPr>
      <t>746 N Harrisville Rd Ogden UT 84404</t>
    </r>
  </si>
  <si>
    <r>
      <rPr>
        <sz val="12"/>
        <rFont val="Arial"/>
        <family val="2"/>
      </rPr>
      <t>Signage</t>
    </r>
  </si>
  <si>
    <r>
      <rPr>
        <sz val="12"/>
        <rFont val="Arial"/>
        <family val="2"/>
      </rPr>
      <t>TAX ID #:   85-2411679</t>
    </r>
  </si>
  <si>
    <r>
      <rPr>
        <sz val="10.5"/>
        <rFont val="Arial"/>
        <family val="2"/>
      </rPr>
      <t>Emerald Mechanical</t>
    </r>
  </si>
  <si>
    <r>
      <rPr>
        <sz val="12"/>
        <rFont val="Arial"/>
        <family val="2"/>
      </rPr>
      <t>8068 N Park Meadow Lane Lake Point, Ut 84074</t>
    </r>
  </si>
  <si>
    <r>
      <rPr>
        <sz val="12"/>
        <rFont val="Arial"/>
        <family val="2"/>
      </rPr>
      <t>HVAC</t>
    </r>
  </si>
  <si>
    <r>
      <rPr>
        <sz val="12"/>
        <rFont val="Arial"/>
        <family val="2"/>
      </rPr>
      <t>TAX ID #:   46-1904265</t>
    </r>
  </si>
  <si>
    <r>
      <rPr>
        <sz val="10.5"/>
        <rFont val="Arial"/>
        <family val="2"/>
      </rPr>
      <t>Mountainland Supply Company</t>
    </r>
  </si>
  <si>
    <r>
      <rPr>
        <sz val="12"/>
        <rFont val="Arial"/>
        <family val="2"/>
      </rPr>
      <t xml:space="preserve">1505 W 130 S
</t>
    </r>
    <r>
      <rPr>
        <sz val="12"/>
        <rFont val="Arial"/>
        <family val="2"/>
      </rPr>
      <t>Orem, UT 84058</t>
    </r>
  </si>
  <si>
    <r>
      <rPr>
        <sz val="12"/>
        <rFont val="Arial"/>
        <family val="2"/>
      </rPr>
      <t>Supplier</t>
    </r>
  </si>
  <si>
    <r>
      <rPr>
        <sz val="12"/>
        <rFont val="Arial"/>
        <family val="2"/>
      </rPr>
      <t>TAX ID #:   87-0275755</t>
    </r>
  </si>
  <si>
    <r>
      <rPr>
        <sz val="10.5"/>
        <rFont val="Arial"/>
        <family val="2"/>
      </rPr>
      <t>Evolution Construction</t>
    </r>
  </si>
  <si>
    <r>
      <rPr>
        <sz val="12"/>
        <rFont val="Arial"/>
        <family val="2"/>
      </rPr>
      <t>13437 W arner W ay Riverton, UT 84095</t>
    </r>
  </si>
  <si>
    <r>
      <rPr>
        <sz val="12"/>
        <rFont val="Arial"/>
        <family val="2"/>
      </rPr>
      <t>Storefront</t>
    </r>
  </si>
  <si>
    <r>
      <rPr>
        <sz val="12"/>
        <rFont val="Arial"/>
        <family val="2"/>
      </rPr>
      <t>TAX ID #:   47-1211273</t>
    </r>
  </si>
  <si>
    <r>
      <rPr>
        <sz val="10.5"/>
        <rFont val="Arial"/>
        <family val="2"/>
      </rPr>
      <t>FORGE Metals, LLC</t>
    </r>
  </si>
  <si>
    <r>
      <rPr>
        <sz val="12"/>
        <rFont val="Arial"/>
        <family val="2"/>
      </rPr>
      <t xml:space="preserve">3150 W Haun Dr
</t>
    </r>
    <r>
      <rPr>
        <sz val="12"/>
        <rFont val="Arial"/>
        <family val="2"/>
      </rPr>
      <t>W est Jordan, UT 84088</t>
    </r>
  </si>
  <si>
    <r>
      <rPr>
        <sz val="12"/>
        <rFont val="Arial"/>
        <family val="2"/>
      </rPr>
      <t>Structural Steel</t>
    </r>
  </si>
  <si>
    <r>
      <rPr>
        <sz val="12"/>
        <rFont val="Arial"/>
        <family val="2"/>
      </rPr>
      <t>TAX ID #:   85-2001268</t>
    </r>
  </si>
  <si>
    <r>
      <rPr>
        <sz val="10.5"/>
        <rFont val="Arial"/>
        <family val="2"/>
      </rPr>
      <t>Fox &amp; Hound</t>
    </r>
  </si>
  <si>
    <r>
      <rPr>
        <sz val="12"/>
        <rFont val="Arial"/>
        <family val="2"/>
      </rPr>
      <t xml:space="preserve">1043 Huckleberry Cir.
</t>
    </r>
    <r>
      <rPr>
        <sz val="12"/>
        <rFont val="Arial"/>
        <family val="2"/>
      </rPr>
      <t>Salem, UT 84653</t>
    </r>
  </si>
  <si>
    <r>
      <rPr>
        <sz val="12"/>
        <rFont val="Arial"/>
        <family val="2"/>
      </rPr>
      <t>Electrical</t>
    </r>
  </si>
  <si>
    <r>
      <rPr>
        <sz val="12"/>
        <rFont val="Arial"/>
        <family val="2"/>
      </rPr>
      <t>TAX ID #:  83-2770646</t>
    </r>
  </si>
  <si>
    <r>
      <rPr>
        <sz val="10.5"/>
        <rFont val="Arial"/>
        <family val="2"/>
      </rPr>
      <t>GM Custom Exteriors</t>
    </r>
  </si>
  <si>
    <r>
      <rPr>
        <sz val="12"/>
        <rFont val="Arial"/>
        <family val="2"/>
      </rPr>
      <t xml:space="preserve">4560 W 5780 S
</t>
    </r>
    <r>
      <rPr>
        <sz val="12"/>
        <rFont val="Arial"/>
        <family val="2"/>
      </rPr>
      <t>SLC UT 84118</t>
    </r>
  </si>
  <si>
    <r>
      <rPr>
        <sz val="12"/>
        <rFont val="Arial"/>
        <family val="2"/>
      </rPr>
      <t>Stucco</t>
    </r>
  </si>
  <si>
    <r>
      <rPr>
        <sz val="12"/>
        <rFont val="Arial"/>
        <family val="2"/>
      </rPr>
      <t>TAX ID #:   82-1490895</t>
    </r>
  </si>
  <si>
    <r>
      <rPr>
        <sz val="10.5"/>
        <rFont val="Arial"/>
        <family val="2"/>
      </rPr>
      <t>Kova</t>
    </r>
  </si>
  <si>
    <r>
      <rPr>
        <sz val="12"/>
        <rFont val="Arial"/>
        <family val="2"/>
      </rPr>
      <t xml:space="preserve">3200 Earhart Drive
</t>
    </r>
    <r>
      <rPr>
        <sz val="12"/>
        <rFont val="Arial"/>
        <family val="2"/>
      </rPr>
      <t>Carrollton, TX 75006</t>
    </r>
  </si>
  <si>
    <r>
      <rPr>
        <sz val="12"/>
        <rFont val="Arial"/>
        <family val="2"/>
      </rPr>
      <t>W indows and Mirrors</t>
    </r>
  </si>
  <si>
    <r>
      <rPr>
        <sz val="12"/>
        <rFont val="Arial"/>
        <family val="2"/>
      </rPr>
      <t>TAX ID #:   85-3048216</t>
    </r>
  </si>
  <si>
    <r>
      <rPr>
        <sz val="10.5"/>
        <rFont val="Arial"/>
        <family val="2"/>
      </rPr>
      <t>Oakler Interiors</t>
    </r>
  </si>
  <si>
    <r>
      <rPr>
        <sz val="12"/>
        <rFont val="Arial"/>
        <family val="2"/>
      </rPr>
      <t xml:space="preserve">3987 W 5575 S
</t>
    </r>
    <r>
      <rPr>
        <sz val="12"/>
        <rFont val="Arial"/>
        <family val="2"/>
      </rPr>
      <t>Roy, UT 84067</t>
    </r>
  </si>
  <si>
    <r>
      <rPr>
        <sz val="12"/>
        <rFont val="Arial"/>
        <family val="2"/>
      </rPr>
      <t>Flooring</t>
    </r>
  </si>
  <si>
    <r>
      <rPr>
        <sz val="12"/>
        <rFont val="Arial"/>
        <family val="2"/>
      </rPr>
      <t>TAX ID #:   87-3916991</t>
    </r>
  </si>
  <si>
    <r>
      <rPr>
        <sz val="10.5"/>
        <rFont val="Arial"/>
        <family val="2"/>
      </rPr>
      <t>Overhead Door</t>
    </r>
  </si>
  <si>
    <r>
      <rPr>
        <sz val="12"/>
        <rFont val="Arial"/>
        <family val="2"/>
      </rPr>
      <t>8682 S Sandy Parkway Sandy, UT 84070</t>
    </r>
  </si>
  <si>
    <r>
      <rPr>
        <sz val="12"/>
        <rFont val="Arial"/>
        <family val="2"/>
      </rPr>
      <t>Rollup Doors</t>
    </r>
  </si>
  <si>
    <r>
      <rPr>
        <sz val="12"/>
        <rFont val="Arial"/>
        <family val="2"/>
      </rPr>
      <t>TAX ID #:   27-2397535</t>
    </r>
  </si>
  <si>
    <r>
      <rPr>
        <sz val="10.5"/>
        <rFont val="Arial"/>
        <family val="2"/>
      </rPr>
      <t>Perkes Roofing</t>
    </r>
  </si>
  <si>
    <r>
      <rPr>
        <sz val="12"/>
        <rFont val="Arial"/>
        <family val="2"/>
      </rPr>
      <t xml:space="preserve">1073 W 1500 S
</t>
    </r>
    <r>
      <rPr>
        <sz val="12"/>
        <rFont val="Arial"/>
        <family val="2"/>
      </rPr>
      <t>Marriott/Slaterville, UT 84404</t>
    </r>
  </si>
  <si>
    <r>
      <rPr>
        <sz val="12"/>
        <rFont val="Arial"/>
        <family val="2"/>
      </rPr>
      <t>Roofing</t>
    </r>
  </si>
  <si>
    <r>
      <rPr>
        <sz val="12"/>
        <rFont val="Arial"/>
        <family val="2"/>
      </rPr>
      <t>TAX ID #:   26-1562650</t>
    </r>
  </si>
  <si>
    <r>
      <rPr>
        <sz val="10.5"/>
        <rFont val="Arial"/>
        <family val="2"/>
      </rPr>
      <t>Precision Pools</t>
    </r>
  </si>
  <si>
    <r>
      <rPr>
        <sz val="12"/>
        <rFont val="Arial"/>
        <family val="2"/>
      </rPr>
      <t>426 W Universal Circle Sandy, UT 84070</t>
    </r>
  </si>
  <si>
    <r>
      <rPr>
        <sz val="12"/>
        <rFont val="Arial"/>
        <family val="2"/>
      </rPr>
      <t>Swimming Pool</t>
    </r>
  </si>
  <si>
    <r>
      <rPr>
        <sz val="12"/>
        <rFont val="Arial"/>
        <family val="2"/>
      </rPr>
      <t>TAX ID #:   87-0569327</t>
    </r>
  </si>
  <si>
    <r>
      <rPr>
        <sz val="10.5"/>
        <rFont val="Arial"/>
        <family val="2"/>
      </rPr>
      <t>Premier Building Supply</t>
    </r>
  </si>
  <si>
    <r>
      <rPr>
        <sz val="12"/>
        <rFont val="Arial"/>
        <family val="2"/>
      </rPr>
      <t>3110 W est Directors Row Salt Lake City, UT 84104</t>
    </r>
  </si>
  <si>
    <r>
      <rPr>
        <sz val="12"/>
        <rFont val="Arial"/>
        <family val="2"/>
      </rPr>
      <t>Insulation</t>
    </r>
  </si>
  <si>
    <r>
      <rPr>
        <sz val="12"/>
        <rFont val="Arial"/>
        <family val="2"/>
      </rPr>
      <t>TAX ID #:   31-1795875</t>
    </r>
  </si>
  <si>
    <r>
      <rPr>
        <sz val="10.5"/>
        <rFont val="Arial"/>
        <family val="2"/>
      </rPr>
      <t>Select Specialties</t>
    </r>
  </si>
  <si>
    <r>
      <rPr>
        <sz val="12"/>
        <rFont val="Arial"/>
        <family val="2"/>
      </rPr>
      <t>14563 Juniper Shade Drive Herriman, UT 84096</t>
    </r>
  </si>
  <si>
    <r>
      <rPr>
        <sz val="12"/>
        <rFont val="Arial"/>
        <family val="2"/>
      </rPr>
      <t>Fire Extinguishers, Roof Hatch, Postal</t>
    </r>
  </si>
  <si>
    <r>
      <rPr>
        <sz val="12"/>
        <rFont val="Arial"/>
        <family val="2"/>
      </rPr>
      <t>TAX ID #:    87-2014332</t>
    </r>
  </si>
  <si>
    <r>
      <rPr>
        <sz val="10.5"/>
        <rFont val="Arial"/>
        <family val="2"/>
      </rPr>
      <t>Superior Commercial Solutions</t>
    </r>
  </si>
  <si>
    <r>
      <rPr>
        <sz val="12"/>
        <rFont val="Arial"/>
        <family val="2"/>
      </rPr>
      <t>263 S River Bend W ay Suite 400 North Salt Lake, Utah  84054</t>
    </r>
  </si>
  <si>
    <r>
      <rPr>
        <sz val="12"/>
        <rFont val="Arial"/>
        <family val="2"/>
      </rPr>
      <t>Countertop and Cabinets</t>
    </r>
  </si>
  <si>
    <r>
      <rPr>
        <sz val="12"/>
        <rFont val="Arial"/>
        <family val="2"/>
      </rPr>
      <t>TAX ID #:    82-4539411</t>
    </r>
  </si>
  <si>
    <r>
      <rPr>
        <sz val="10.5"/>
        <rFont val="Arial"/>
        <family val="2"/>
      </rPr>
      <t>TK Elevators</t>
    </r>
  </si>
  <si>
    <r>
      <rPr>
        <sz val="12"/>
        <rFont val="Arial"/>
        <family val="2"/>
      </rPr>
      <t>3100 Interstate N Circle SE, STE 500 Atlanta, GA 30339-2227</t>
    </r>
  </si>
  <si>
    <r>
      <rPr>
        <sz val="12"/>
        <rFont val="Arial"/>
        <family val="2"/>
      </rPr>
      <t>Elevators</t>
    </r>
  </si>
  <si>
    <r>
      <rPr>
        <sz val="12"/>
        <rFont val="Arial"/>
        <family val="2"/>
      </rPr>
      <t>TAX ID #:   62-1211267</t>
    </r>
  </si>
  <si>
    <r>
      <rPr>
        <sz val="10.5"/>
        <rFont val="Arial"/>
        <family val="2"/>
      </rPr>
      <t>Thueson Masonry</t>
    </r>
  </si>
  <si>
    <r>
      <rPr>
        <sz val="12"/>
        <rFont val="Arial"/>
        <family val="2"/>
      </rPr>
      <t xml:space="preserve">35 N 3600 W
</t>
    </r>
    <r>
      <rPr>
        <sz val="12"/>
        <rFont val="Arial"/>
        <family val="2"/>
      </rPr>
      <t>Layton UT 84041</t>
    </r>
  </si>
  <si>
    <r>
      <rPr>
        <sz val="12"/>
        <rFont val="Arial"/>
        <family val="2"/>
      </rPr>
      <t>Masonry</t>
    </r>
  </si>
  <si>
    <r>
      <rPr>
        <sz val="12"/>
        <rFont val="Arial"/>
        <family val="2"/>
      </rPr>
      <t>TAX ID #:   87-0620862</t>
    </r>
  </si>
  <si>
    <r>
      <rPr>
        <sz val="10.5"/>
        <rFont val="Arial"/>
        <family val="2"/>
      </rPr>
      <t>Titus Shotcrete LLC</t>
    </r>
  </si>
  <si>
    <r>
      <rPr>
        <sz val="12"/>
        <rFont val="Arial"/>
        <family val="2"/>
      </rPr>
      <t xml:space="preserve">537 W 600 S Suite 400
</t>
    </r>
    <r>
      <rPr>
        <sz val="12"/>
        <rFont val="Arial"/>
        <family val="2"/>
      </rPr>
      <t>Salt Lake City, UT 84101</t>
    </r>
  </si>
  <si>
    <r>
      <rPr>
        <sz val="12"/>
        <rFont val="Arial"/>
        <family val="2"/>
      </rPr>
      <t>Concrete</t>
    </r>
  </si>
  <si>
    <r>
      <rPr>
        <sz val="12"/>
        <rFont val="Arial"/>
        <family val="2"/>
      </rPr>
      <t>TAX ID #:   85-3625903</t>
    </r>
  </si>
  <si>
    <r>
      <rPr>
        <sz val="10.5"/>
        <rFont val="Arial"/>
        <family val="2"/>
      </rPr>
      <t>Triple BBB Development &amp; Construction</t>
    </r>
  </si>
  <si>
    <r>
      <rPr>
        <sz val="12"/>
        <rFont val="Arial"/>
        <family val="2"/>
      </rPr>
      <t>752 East Hills Dr. Bountiful, UT 84010</t>
    </r>
  </si>
  <si>
    <r>
      <rPr>
        <sz val="12"/>
        <rFont val="Arial"/>
        <family val="2"/>
      </rPr>
      <t>Earthworks</t>
    </r>
  </si>
  <si>
    <r>
      <rPr>
        <sz val="12"/>
        <rFont val="Arial"/>
        <family val="2"/>
      </rPr>
      <t>TAX ID #:   87-3391186</t>
    </r>
  </si>
  <si>
    <r>
      <rPr>
        <sz val="10.5"/>
        <rFont val="Arial"/>
        <family val="2"/>
      </rPr>
      <t>Wilcox Finish Supply</t>
    </r>
  </si>
  <si>
    <r>
      <rPr>
        <sz val="12"/>
        <rFont val="Arial"/>
        <family val="2"/>
      </rPr>
      <t xml:space="preserve">441 W 12th St.
</t>
    </r>
    <r>
      <rPr>
        <sz val="12"/>
        <rFont val="Arial"/>
        <family val="2"/>
      </rPr>
      <t>Ogden, UT 84404</t>
    </r>
  </si>
  <si>
    <r>
      <rPr>
        <sz val="12"/>
        <rFont val="Arial"/>
        <family val="2"/>
      </rPr>
      <t>Doors, Trim</t>
    </r>
  </si>
  <si>
    <r>
      <rPr>
        <sz val="12"/>
        <rFont val="Arial"/>
        <family val="2"/>
      </rPr>
      <t>TAX ID #:   87-0684212</t>
    </r>
  </si>
  <si>
    <r>
      <rPr>
        <sz val="10.5"/>
        <rFont val="Arial"/>
        <family val="2"/>
      </rPr>
      <t>Makers Line LLC</t>
    </r>
  </si>
  <si>
    <r>
      <rPr>
        <sz val="12"/>
        <rFont val="Arial"/>
        <family val="2"/>
      </rPr>
      <t>GC, GR, P&amp;O</t>
    </r>
  </si>
  <si>
    <r>
      <rPr>
        <sz val="12"/>
        <rFont val="Arial"/>
        <family val="2"/>
      </rPr>
      <t>TAX ID #:    46-3051924</t>
    </r>
  </si>
  <si>
    <r>
      <rPr>
        <sz val="11"/>
        <rFont val="Times New Roman"/>
        <family val="1"/>
      </rPr>
      <t>Dear University Federal Credit Union: In Respect to the below referenced construction loan, we have incurred the charges for labor and material ordered as listed on this billiing, for which we hereby request checks to be prepared and disbursed.  We certify and represent that all of the labor and materials for which these bills are presented have been used in the construction of this referenced unit, and that construction to date is acceptable and is in accordance with approved plans and specifications. It is understood and agreed that the money paid under this request will be treated as trust monies and used to pay the bills for labor and material as listed on this form.</t>
    </r>
  </si>
  <si>
    <r>
      <rPr>
        <b/>
        <sz val="12"/>
        <rFont val="Arial"/>
        <family val="2"/>
      </rPr>
      <t>TOTAL AMOUNT AUTHORIZED FOR PAYMENT ON THIS DRAW  REQUEST</t>
    </r>
  </si>
  <si>
    <r>
      <rPr>
        <b/>
        <sz val="12"/>
        <rFont val="Arial"/>
        <family val="2"/>
      </rPr>
      <t xml:space="preserve">TOTAL DRAWN ON CONSTRUCTION LOAN </t>
    </r>
    <r>
      <rPr>
        <b/>
        <u/>
        <sz val="12"/>
        <rFont val="Arial"/>
        <family val="2"/>
      </rPr>
      <t>                                    </t>
    </r>
  </si>
  <si>
    <r>
      <rPr>
        <sz val="12"/>
        <rFont val="Arial"/>
        <family val="2"/>
      </rPr>
      <t>X</t>
    </r>
    <r>
      <rPr>
        <u/>
        <sz val="12"/>
        <rFont val="Arial"/>
        <family val="2"/>
      </rPr>
      <t>                                                                                             </t>
    </r>
    <r>
      <rPr>
        <sz val="12"/>
        <rFont val="Arial"/>
        <family val="2"/>
      </rPr>
      <t xml:space="preserve"> X</t>
    </r>
    <r>
      <rPr>
        <u/>
        <sz val="12"/>
        <rFont val="Arial"/>
        <family val="2"/>
      </rPr>
      <t>                                                                                             </t>
    </r>
    <r>
      <rPr>
        <sz val="12"/>
        <rFont val="Arial"/>
        <family val="2"/>
      </rPr>
      <t xml:space="preserve"> BORROWER - MORTGAGOR                                                      </t>
    </r>
    <r>
      <rPr>
        <vertAlign val="superscript"/>
        <sz val="12"/>
        <rFont val="Arial"/>
        <family val="2"/>
      </rPr>
      <t>CONTRACTOR - BUILDER</t>
    </r>
  </si>
  <si>
    <r>
      <t xml:space="preserve">TOTAL THIS DRAW </t>
    </r>
    <r>
      <rPr>
        <b/>
        <u/>
        <sz val="12"/>
        <rFont val="Arial"/>
        <family val="2"/>
      </rPr>
      <t>           $823,938.18    </t>
    </r>
    <r>
      <rPr>
        <b/>
        <sz val="12"/>
        <rFont val="Arial"/>
        <family val="2"/>
      </rPr>
      <t xml:space="preserve"> TOTAL DRAWN PRIOR TO DRAW REQUEST </t>
    </r>
    <r>
      <rPr>
        <b/>
        <u/>
        <sz val="12"/>
        <rFont val="Arial"/>
        <family val="2"/>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</si>
</sst>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yy;@"/>
  </numFmts>
  <fonts count="22" x14ac:knownFonts="1">
    <font>
      <sz val="10"/>
      <color rgb="FF000000"/>
      <name val="Times New Roman"/>
      <charset val="204"/>
    </font>
    <font>
      <sz val="5"/>
      <name val="Arial"/>
    </font>
    <font>
      <b/>
      <sz val="10.5"/>
      <name val="Arial"/>
    </font>
    <font>
      <b/>
      <sz val="19.5"/>
      <name val="Arial"/>
    </font>
    <font>
      <b/>
      <sz val="12.5"/>
      <name val="Arial"/>
    </font>
    <font>
      <b/>
      <sz val="12"/>
      <name val="Arial"/>
    </font>
    <font>
      <sz val="10.5"/>
      <name val="Arial"/>
    </font>
    <font>
      <sz val="12"/>
      <name val="Arial"/>
    </font>
    <font>
      <sz val="12"/>
      <color rgb="FF000000"/>
      <name val="Arial"/>
      <family val="2"/>
    </font>
    <font>
      <sz val="11"/>
      <name val="Times New Roman"/>
    </font>
    <font>
      <sz val="6"/>
      <color rgb="FF000000"/>
      <name val="Lucida Console"/>
      <family val="2"/>
    </font>
    <font>
      <sz val="5"/>
      <name val="Arial"/>
      <family val="2"/>
    </font>
    <font>
      <b/>
      <sz val="10.5"/>
      <name val="Arial"/>
      <family val="2"/>
    </font>
    <font>
      <b/>
      <sz val="19.5"/>
      <name val="Arial"/>
      <family val="2"/>
    </font>
    <font>
      <b/>
      <sz val="12.5"/>
      <name val="Arial"/>
      <family val="2"/>
    </font>
    <font>
      <b/>
      <sz val="12"/>
      <name val="Arial"/>
      <family val="2"/>
    </font>
    <font>
      <sz val="10.5"/>
      <name val="Arial"/>
      <family val="2"/>
    </font>
    <font>
      <sz val="12"/>
      <name val="Arial"/>
      <family val="2"/>
    </font>
    <font>
      <sz val="11"/>
      <name val="Times New Roman"/>
      <family val="1"/>
    </font>
    <font>
      <b/>
      <u/>
      <sz val="12"/>
      <name val="Arial"/>
      <family val="2"/>
    </font>
    <font>
      <u/>
      <sz val="12"/>
      <name val="Arial"/>
      <family val="2"/>
    </font>
    <font>
      <vertAlign val="superscript"/>
      <sz val="12"/>
      <name val="Arial"/>
      <family val="2"/>
    </font>
  </fonts>
  <fills count="3">
    <fill>
      <patternFill patternType="none"/>
    </fill>
    <fill>
      <patternFill patternType="gray125"/>
    </fill>
    <fill>
      <patternFill patternType="solid">
        <fgColor rgb="FFCCFFC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s>
  <cellStyleXfs count="1">
    <xf numFmtId="0" fontId="0" fillId="0" borderId="0"/>
  </cellStyleXfs>
  <cellXfs count="28">
    <xf numFmtId="0" fontId="0" fillId="0" borderId="0" xfId="0" applyAlignment="1">
      <alignment horizontal="left" vertical="top"/>
    </xf>
    <xf numFmtId="0" fontId="1" fillId="0" borderId="0" xfId="0" applyFont="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5" fillId="2" borderId="1" xfId="0" applyFont="1" applyFill="1" applyBorder="1" applyAlignment="1">
      <alignment horizontal="left" vertical="top" wrapText="1" indent="2"/>
    </xf>
    <xf numFmtId="0" fontId="5" fillId="2" borderId="1" xfId="0" applyFont="1" applyFill="1" applyBorder="1" applyAlignment="1">
      <alignment horizontal="left" vertical="top" wrapText="1"/>
    </xf>
    <xf numFmtId="0" fontId="5" fillId="2" borderId="1" xfId="0" applyFont="1" applyFill="1" applyBorder="1" applyAlignment="1">
      <alignment horizontal="left" vertical="top" wrapText="1" indent="8"/>
    </xf>
    <xf numFmtId="0" fontId="5" fillId="2" borderId="1" xfId="0" applyFont="1" applyFill="1" applyBorder="1" applyAlignment="1">
      <alignment horizontal="center" vertical="top" wrapText="1"/>
    </xf>
    <xf numFmtId="0" fontId="5" fillId="2" borderId="1" xfId="0" applyFont="1" applyFill="1" applyBorder="1" applyAlignment="1">
      <alignment horizontal="left" vertical="top" wrapText="1" indent="4"/>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0" fillId="0" borderId="1" xfId="0" applyBorder="1" applyAlignment="1">
      <alignment horizontal="left" wrapText="1"/>
    </xf>
    <xf numFmtId="0" fontId="5" fillId="0" borderId="0" xfId="0" applyFont="1" applyAlignment="1">
      <alignment horizontal="left" vertical="top"/>
    </xf>
    <xf numFmtId="165" fontId="10" fillId="0" borderId="0" xfId="0" applyNumberFormat="1" applyFont="1" applyAlignment="1">
      <alignment horizontal="left" vertical="top" shrinkToFit="1"/>
    </xf>
    <xf numFmtId="0" fontId="15" fillId="0" borderId="0" xfId="0" applyFont="1" applyAlignment="1">
      <alignment horizontal="left" vertical="top"/>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164" fontId="8" fillId="0" borderId="2" xfId="0" applyNumberFormat="1" applyFont="1" applyBorder="1" applyAlignment="1">
      <alignment horizontal="left" vertical="top" indent="5" shrinkToFit="1"/>
    </xf>
    <xf numFmtId="164" fontId="8" fillId="0" borderId="3" xfId="0" applyNumberFormat="1" applyFont="1" applyBorder="1" applyAlignment="1">
      <alignment horizontal="left" vertical="top" indent="5" shrinkToFit="1"/>
    </xf>
    <xf numFmtId="164" fontId="8" fillId="0" borderId="2" xfId="0" applyNumberFormat="1" applyFont="1" applyBorder="1" applyAlignment="1">
      <alignment horizontal="left" vertical="top" indent="6" shrinkToFit="1"/>
    </xf>
    <xf numFmtId="164" fontId="8" fillId="0" borderId="3" xfId="0" applyNumberFormat="1" applyFont="1" applyBorder="1" applyAlignment="1">
      <alignment horizontal="left" vertical="top" indent="6" shrinkToFit="1"/>
    </xf>
    <xf numFmtId="0" fontId="9" fillId="0" borderId="4" xfId="0" applyFont="1" applyBorder="1" applyAlignment="1">
      <alignment horizontal="center" vertical="top" wrapText="1"/>
    </xf>
    <xf numFmtId="0" fontId="17"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73</xdr:row>
      <xdr:rowOff>0</xdr:rowOff>
    </xdr:from>
    <xdr:ext cx="7539355" cy="347980"/>
    <xdr:grpSp>
      <xdr:nvGrpSpPr>
        <xdr:cNvPr id="2" name="Group 2">
          <a:extLst>
            <a:ext uri="{FF2B5EF4-FFF2-40B4-BE49-F238E27FC236}">
              <a16:creationId xmlns:a16="http://schemas.microsoft.com/office/drawing/2014/main" id="{00000000-0008-0000-0000-000002000000}"/>
            </a:ext>
          </a:extLst>
        </xdr:cNvPr>
        <xdr:cNvGrpSpPr/>
      </xdr:nvGrpSpPr>
      <xdr:grpSpPr>
        <a:xfrm>
          <a:off x="0" y="16764000"/>
          <a:ext cx="7539355" cy="347980"/>
          <a:chOff x="0" y="0"/>
          <a:chExt cx="7539355" cy="347980"/>
        </a:xfrm>
      </xdr:grpSpPr>
      <xdr:sp macro="" textlink="">
        <xdr:nvSpPr>
          <xdr:cNvPr id="3" name="Shape 3">
            <a:extLst>
              <a:ext uri="{FF2B5EF4-FFF2-40B4-BE49-F238E27FC236}">
                <a16:creationId xmlns:a16="http://schemas.microsoft.com/office/drawing/2014/main" id="{00000000-0008-0000-0000-000003000000}"/>
              </a:ext>
            </a:extLst>
          </xdr:cNvPr>
          <xdr:cNvSpPr/>
        </xdr:nvSpPr>
        <xdr:spPr>
          <a:xfrm>
            <a:off x="4333354" y="0"/>
            <a:ext cx="3206115" cy="347980"/>
          </a:xfrm>
          <a:custGeom>
            <a:avLst/>
            <a:gdLst/>
            <a:ahLst/>
            <a:cxnLst/>
            <a:rect l="0" t="0" r="0" b="0"/>
            <a:pathLst>
              <a:path w="3206115" h="347980">
                <a:moveTo>
                  <a:pt x="0" y="347457"/>
                </a:moveTo>
                <a:lnTo>
                  <a:pt x="3205682" y="347457"/>
                </a:lnTo>
                <a:lnTo>
                  <a:pt x="3205682" y="0"/>
                </a:lnTo>
                <a:lnTo>
                  <a:pt x="0" y="0"/>
                </a:lnTo>
                <a:lnTo>
                  <a:pt x="0" y="347457"/>
                </a:lnTo>
                <a:close/>
              </a:path>
            </a:pathLst>
          </a:custGeom>
          <a:solidFill>
            <a:srgbClr val="CCFFCC"/>
          </a:solidFill>
        </xdr:spPr>
      </xdr:sp>
      <xdr:sp macro="" textlink="">
        <xdr:nvSpPr>
          <xdr:cNvPr id="4" name="Shape 4">
            <a:extLst>
              <a:ext uri="{FF2B5EF4-FFF2-40B4-BE49-F238E27FC236}">
                <a16:creationId xmlns:a16="http://schemas.microsoft.com/office/drawing/2014/main" id="{00000000-0008-0000-0000-000004000000}"/>
              </a:ext>
            </a:extLst>
          </xdr:cNvPr>
          <xdr:cNvSpPr/>
        </xdr:nvSpPr>
        <xdr:spPr>
          <a:xfrm>
            <a:off x="4342485" y="3090"/>
            <a:ext cx="3194050" cy="0"/>
          </a:xfrm>
          <a:custGeom>
            <a:avLst/>
            <a:gdLst/>
            <a:ahLst/>
            <a:cxnLst/>
            <a:rect l="0" t="0" r="0" b="0"/>
            <a:pathLst>
              <a:path w="3194050">
                <a:moveTo>
                  <a:pt x="0" y="0"/>
                </a:moveTo>
                <a:lnTo>
                  <a:pt x="3193536" y="0"/>
                </a:lnTo>
              </a:path>
            </a:pathLst>
          </a:custGeom>
          <a:ln w="6092">
            <a:solidFill>
              <a:srgbClr val="000000"/>
            </a:solidFill>
          </a:ln>
        </xdr:spPr>
      </xdr:sp>
      <xdr:sp macro="" textlink="">
        <xdr:nvSpPr>
          <xdr:cNvPr id="5" name="Shape 5">
            <a:extLst>
              <a:ext uri="{FF2B5EF4-FFF2-40B4-BE49-F238E27FC236}">
                <a16:creationId xmlns:a16="http://schemas.microsoft.com/office/drawing/2014/main" id="{00000000-0008-0000-0000-000005000000}"/>
              </a:ext>
            </a:extLst>
          </xdr:cNvPr>
          <xdr:cNvSpPr/>
        </xdr:nvSpPr>
        <xdr:spPr>
          <a:xfrm>
            <a:off x="4339470" y="3060"/>
            <a:ext cx="3199765" cy="0"/>
          </a:xfrm>
          <a:custGeom>
            <a:avLst/>
            <a:gdLst/>
            <a:ahLst/>
            <a:cxnLst/>
            <a:rect l="0" t="0" r="0" b="0"/>
            <a:pathLst>
              <a:path w="3199765">
                <a:moveTo>
                  <a:pt x="0" y="0"/>
                </a:moveTo>
                <a:lnTo>
                  <a:pt x="3199567" y="0"/>
                </a:lnTo>
              </a:path>
            </a:pathLst>
          </a:custGeom>
          <a:ln w="6092">
            <a:solidFill>
              <a:srgbClr val="000000"/>
            </a:solidFill>
          </a:ln>
        </xdr:spPr>
      </xdr:sp>
      <xdr:sp macro="" textlink="">
        <xdr:nvSpPr>
          <xdr:cNvPr id="6" name="Shape 6">
            <a:extLst>
              <a:ext uri="{FF2B5EF4-FFF2-40B4-BE49-F238E27FC236}">
                <a16:creationId xmlns:a16="http://schemas.microsoft.com/office/drawing/2014/main" id="{00000000-0008-0000-0000-000006000000}"/>
              </a:ext>
            </a:extLst>
          </xdr:cNvPr>
          <xdr:cNvSpPr/>
        </xdr:nvSpPr>
        <xdr:spPr>
          <a:xfrm>
            <a:off x="4336454" y="3090"/>
            <a:ext cx="0" cy="341630"/>
          </a:xfrm>
          <a:custGeom>
            <a:avLst/>
            <a:gdLst/>
            <a:ahLst/>
            <a:cxnLst/>
            <a:rect l="0" t="0" r="0" b="0"/>
            <a:pathLst>
              <a:path h="341630">
                <a:moveTo>
                  <a:pt x="0" y="0"/>
                </a:moveTo>
                <a:lnTo>
                  <a:pt x="0" y="341350"/>
                </a:lnTo>
              </a:path>
            </a:pathLst>
          </a:custGeom>
          <a:ln w="6092">
            <a:solidFill>
              <a:srgbClr val="000000"/>
            </a:solidFill>
          </a:ln>
        </xdr:spPr>
      </xdr:sp>
      <xdr:sp macro="" textlink="">
        <xdr:nvSpPr>
          <xdr:cNvPr id="7" name="Shape 7">
            <a:extLst>
              <a:ext uri="{FF2B5EF4-FFF2-40B4-BE49-F238E27FC236}">
                <a16:creationId xmlns:a16="http://schemas.microsoft.com/office/drawing/2014/main" id="{00000000-0008-0000-0000-000007000000}"/>
              </a:ext>
            </a:extLst>
          </xdr:cNvPr>
          <xdr:cNvSpPr/>
        </xdr:nvSpPr>
        <xdr:spPr>
          <a:xfrm>
            <a:off x="4336400" y="0"/>
            <a:ext cx="0" cy="347980"/>
          </a:xfrm>
          <a:custGeom>
            <a:avLst/>
            <a:gdLst/>
            <a:ahLst/>
            <a:cxnLst/>
            <a:rect l="0" t="0" r="0" b="0"/>
            <a:pathLst>
              <a:path h="347980">
                <a:moveTo>
                  <a:pt x="0" y="0"/>
                </a:moveTo>
                <a:lnTo>
                  <a:pt x="0" y="347457"/>
                </a:lnTo>
              </a:path>
            </a:pathLst>
          </a:custGeom>
          <a:ln w="6091">
            <a:solidFill>
              <a:srgbClr val="000000"/>
            </a:solidFill>
          </a:ln>
        </xdr:spPr>
      </xdr:sp>
      <xdr:sp macro="" textlink="">
        <xdr:nvSpPr>
          <xdr:cNvPr id="8" name="Shape 8">
            <a:extLst>
              <a:ext uri="{FF2B5EF4-FFF2-40B4-BE49-F238E27FC236}">
                <a16:creationId xmlns:a16="http://schemas.microsoft.com/office/drawing/2014/main" id="{00000000-0008-0000-0000-000008000000}"/>
              </a:ext>
            </a:extLst>
          </xdr:cNvPr>
          <xdr:cNvSpPr/>
        </xdr:nvSpPr>
        <xdr:spPr>
          <a:xfrm>
            <a:off x="7536022" y="9205"/>
            <a:ext cx="0" cy="335280"/>
          </a:xfrm>
          <a:custGeom>
            <a:avLst/>
            <a:gdLst/>
            <a:ahLst/>
            <a:cxnLst/>
            <a:rect l="0" t="0" r="0" b="0"/>
            <a:pathLst>
              <a:path h="335280">
                <a:moveTo>
                  <a:pt x="0" y="0"/>
                </a:moveTo>
                <a:lnTo>
                  <a:pt x="0" y="335235"/>
                </a:lnTo>
              </a:path>
            </a:pathLst>
          </a:custGeom>
          <a:ln w="6092">
            <a:solidFill>
              <a:srgbClr val="000000"/>
            </a:solidFill>
          </a:ln>
        </xdr:spPr>
      </xdr:sp>
      <xdr:sp macro="" textlink="">
        <xdr:nvSpPr>
          <xdr:cNvPr id="9" name="Shape 9">
            <a:extLst>
              <a:ext uri="{FF2B5EF4-FFF2-40B4-BE49-F238E27FC236}">
                <a16:creationId xmlns:a16="http://schemas.microsoft.com/office/drawing/2014/main" id="{00000000-0008-0000-0000-000009000000}"/>
              </a:ext>
            </a:extLst>
          </xdr:cNvPr>
          <xdr:cNvSpPr/>
        </xdr:nvSpPr>
        <xdr:spPr>
          <a:xfrm>
            <a:off x="7536052" y="6098"/>
            <a:ext cx="0" cy="341630"/>
          </a:xfrm>
          <a:custGeom>
            <a:avLst/>
            <a:gdLst/>
            <a:ahLst/>
            <a:cxnLst/>
            <a:rect l="0" t="0" r="0" b="0"/>
            <a:pathLst>
              <a:path h="341630">
                <a:moveTo>
                  <a:pt x="0" y="0"/>
                </a:moveTo>
                <a:lnTo>
                  <a:pt x="0" y="341359"/>
                </a:lnTo>
              </a:path>
            </a:pathLst>
          </a:custGeom>
          <a:ln w="6092">
            <a:solidFill>
              <a:srgbClr val="000000"/>
            </a:solidFill>
          </a:ln>
        </xdr:spPr>
      </xdr:sp>
      <xdr:sp macro="" textlink="">
        <xdr:nvSpPr>
          <xdr:cNvPr id="10" name="Shape 10">
            <a:extLst>
              <a:ext uri="{FF2B5EF4-FFF2-40B4-BE49-F238E27FC236}">
                <a16:creationId xmlns:a16="http://schemas.microsoft.com/office/drawing/2014/main" id="{00000000-0008-0000-0000-00000A000000}"/>
              </a:ext>
            </a:extLst>
          </xdr:cNvPr>
          <xdr:cNvSpPr/>
        </xdr:nvSpPr>
        <xdr:spPr>
          <a:xfrm>
            <a:off x="3099" y="344441"/>
            <a:ext cx="7533005" cy="0"/>
          </a:xfrm>
          <a:custGeom>
            <a:avLst/>
            <a:gdLst/>
            <a:ahLst/>
            <a:cxnLst/>
            <a:rect l="0" t="0" r="0" b="0"/>
            <a:pathLst>
              <a:path w="7533005">
                <a:moveTo>
                  <a:pt x="0" y="0"/>
                </a:moveTo>
                <a:lnTo>
                  <a:pt x="7532922" y="0"/>
                </a:lnTo>
              </a:path>
            </a:pathLst>
          </a:custGeom>
          <a:ln w="6092">
            <a:solidFill>
              <a:srgbClr val="000000"/>
            </a:solidFill>
          </a:ln>
        </xdr:spPr>
      </xdr:sp>
      <xdr:sp macro="" textlink="">
        <xdr:nvSpPr>
          <xdr:cNvPr id="11" name="Shape 11">
            <a:extLst>
              <a:ext uri="{FF2B5EF4-FFF2-40B4-BE49-F238E27FC236}">
                <a16:creationId xmlns:a16="http://schemas.microsoft.com/office/drawing/2014/main" id="{00000000-0008-0000-0000-00000B000000}"/>
              </a:ext>
            </a:extLst>
          </xdr:cNvPr>
          <xdr:cNvSpPr/>
        </xdr:nvSpPr>
        <xdr:spPr>
          <a:xfrm>
            <a:off x="0" y="344411"/>
            <a:ext cx="7539355" cy="0"/>
          </a:xfrm>
          <a:custGeom>
            <a:avLst/>
            <a:gdLst/>
            <a:ahLst/>
            <a:cxnLst/>
            <a:rect l="0" t="0" r="0" b="0"/>
            <a:pathLst>
              <a:path w="7539355">
                <a:moveTo>
                  <a:pt x="0" y="0"/>
                </a:moveTo>
                <a:lnTo>
                  <a:pt x="7539037" y="0"/>
                </a:lnTo>
              </a:path>
            </a:pathLst>
          </a:custGeom>
          <a:ln w="6092">
            <a:solidFill>
              <a:srgbClr val="000000"/>
            </a:solidFill>
          </a:ln>
        </xdr:spPr>
      </xdr:sp>
    </xdr:grpSp>
    <xdr:clientData/>
  </xdr:oneCellAnchor>
  <xdr:oneCellAnchor>
    <xdr:from>
      <xdr:col>0</xdr:col>
      <xdr:colOff>0</xdr:colOff>
      <xdr:row>74</xdr:row>
      <xdr:rowOff>3044</xdr:rowOff>
    </xdr:from>
    <xdr:ext cx="1499870" cy="0"/>
    <xdr:sp macro="" textlink="">
      <xdr:nvSpPr>
        <xdr:cNvPr id="12" name="Shape 12">
          <a:extLst>
            <a:ext uri="{FF2B5EF4-FFF2-40B4-BE49-F238E27FC236}">
              <a16:creationId xmlns:a16="http://schemas.microsoft.com/office/drawing/2014/main" id="{00000000-0008-0000-0000-00000C000000}"/>
            </a:ext>
          </a:extLst>
        </xdr:cNvPr>
        <xdr:cNvSpPr/>
      </xdr:nvSpPr>
      <xdr:spPr>
        <a:xfrm>
          <a:off x="0" y="0"/>
          <a:ext cx="1499870" cy="0"/>
        </a:xfrm>
        <a:custGeom>
          <a:avLst/>
          <a:gdLst/>
          <a:ahLst/>
          <a:cxnLst/>
          <a:rect l="0" t="0" r="0" b="0"/>
          <a:pathLst>
            <a:path w="1499870">
              <a:moveTo>
                <a:pt x="0" y="0"/>
              </a:moveTo>
              <a:lnTo>
                <a:pt x="1499263" y="0"/>
              </a:lnTo>
            </a:path>
          </a:pathLst>
        </a:custGeom>
        <a:ln w="6090">
          <a:solidFill>
            <a:srgbClr val="000000"/>
          </a:solidFill>
        </a:ln>
      </xdr:spPr>
    </xdr:sp>
    <xdr:clientData/>
  </xdr:oneCellAnchor>
  <xdr:twoCellAnchor editAs="oneCell">
    <xdr:from>
      <xdr:col>0</xdr:col>
      <xdr:colOff>0</xdr:colOff>
      <xdr:row>0</xdr:row>
      <xdr:rowOff>91273</xdr:rowOff>
    </xdr:from>
    <xdr:to>
      <xdr:col>2</xdr:col>
      <xdr:colOff>816359</xdr:colOff>
      <xdr:row>1</xdr:row>
      <xdr:rowOff>225408</xdr:rowOff>
    </xdr:to>
    <xdr:pic>
      <xdr:nvPicPr>
        <xdr:cNvPr id="13" name="image1.jpe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467359" cy="22540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78"/>
  <sheetViews>
    <sheetView tabSelected="1" topLeftCell="A23" workbookViewId="0">
      <selection activeCell="D57" sqref="D57:D58"/>
    </sheetView>
  </sheetViews>
  <sheetFormatPr defaultRowHeight="12.75" x14ac:dyDescent="0.2"/>
  <cols>
    <col min="1" max="2" width="15.1640625" customWidth="1"/>
    <col min="3" max="3" width="48.83203125" customWidth="1"/>
    <col min="4" max="4" width="59.33203125" customWidth="1"/>
    <col min="5" max="5" width="58.1640625" customWidth="1"/>
    <col min="6" max="6" width="28" customWidth="1"/>
  </cols>
  <sheetData>
    <row r="1" spans="1:6" ht="8.25" customHeight="1" x14ac:dyDescent="0.2">
      <c r="A1" s="1" t="s">
        <v>0</v>
      </c>
    </row>
    <row r="2" spans="1:6" ht="18" customHeight="1" x14ac:dyDescent="0.2"/>
    <row r="3" spans="1:6" ht="15" customHeight="1" x14ac:dyDescent="0.2">
      <c r="A3" s="2" t="s">
        <v>1</v>
      </c>
    </row>
    <row r="4" spans="1:6" ht="27.95" customHeight="1" x14ac:dyDescent="0.2">
      <c r="A4" s="3" t="s">
        <v>2</v>
      </c>
    </row>
    <row r="5" spans="1:6" ht="27.95" customHeight="1" x14ac:dyDescent="0.2">
      <c r="A5" s="3" t="s">
        <v>3</v>
      </c>
    </row>
    <row r="6" spans="1:6" ht="18" customHeight="1" x14ac:dyDescent="0.2">
      <c r="A6" s="4" t="s">
        <v>4</v>
      </c>
    </row>
    <row r="7" spans="1:6" ht="18" customHeight="1" x14ac:dyDescent="0.2">
      <c r="A7" s="4" t="s">
        <v>5</v>
      </c>
    </row>
    <row r="8" spans="1:6" ht="18" customHeight="1" x14ac:dyDescent="0.2">
      <c r="A8" s="4" t="s">
        <v>6</v>
      </c>
    </row>
    <row r="9" spans="1:6" ht="18" customHeight="1" x14ac:dyDescent="0.2">
      <c r="A9" s="4" t="s">
        <v>7</v>
      </c>
    </row>
    <row r="10" spans="1:6" ht="17.25" customHeight="1" x14ac:dyDescent="0.2">
      <c r="A10" s="5" t="s">
        <v>8</v>
      </c>
      <c r="B10" s="6" t="s">
        <v>9</v>
      </c>
      <c r="C10" s="7" t="s">
        <v>10</v>
      </c>
      <c r="D10" s="8" t="s">
        <v>11</v>
      </c>
      <c r="E10" s="8" t="s">
        <v>12</v>
      </c>
      <c r="F10" s="9" t="s">
        <v>13</v>
      </c>
    </row>
    <row r="11" spans="1:6" ht="18.600000000000001" customHeight="1" x14ac:dyDescent="0.2">
      <c r="A11" s="16"/>
      <c r="B11" s="16"/>
      <c r="C11" s="10" t="s">
        <v>14</v>
      </c>
      <c r="D11" s="20" t="s">
        <v>15</v>
      </c>
      <c r="E11" s="20" t="s">
        <v>16</v>
      </c>
      <c r="F11" s="16"/>
    </row>
    <row r="12" spans="1:6" ht="17.25" customHeight="1" x14ac:dyDescent="0.2">
      <c r="A12" s="17"/>
      <c r="B12" s="17"/>
      <c r="C12" s="11" t="s">
        <v>17</v>
      </c>
      <c r="D12" s="21"/>
      <c r="E12" s="21"/>
      <c r="F12" s="17"/>
    </row>
    <row r="13" spans="1:6" ht="17.25" customHeight="1" x14ac:dyDescent="0.2">
      <c r="A13" s="16"/>
      <c r="B13" s="16"/>
      <c r="C13" s="10" t="s">
        <v>18</v>
      </c>
      <c r="D13" s="18" t="s">
        <v>19</v>
      </c>
      <c r="E13" s="20" t="s">
        <v>20</v>
      </c>
      <c r="F13" s="16"/>
    </row>
    <row r="14" spans="1:6" ht="17.25" customHeight="1" x14ac:dyDescent="0.2">
      <c r="A14" s="17"/>
      <c r="B14" s="17"/>
      <c r="C14" s="11" t="s">
        <v>21</v>
      </c>
      <c r="D14" s="19"/>
      <c r="E14" s="21"/>
      <c r="F14" s="17"/>
    </row>
    <row r="15" spans="1:6" ht="18.600000000000001" customHeight="1" x14ac:dyDescent="0.2">
      <c r="A15" s="16"/>
      <c r="B15" s="16"/>
      <c r="C15" s="10" t="s">
        <v>22</v>
      </c>
      <c r="D15" s="18" t="s">
        <v>23</v>
      </c>
      <c r="E15" s="20" t="s">
        <v>24</v>
      </c>
      <c r="F15" s="16"/>
    </row>
    <row r="16" spans="1:6" ht="17.25" customHeight="1" x14ac:dyDescent="0.2">
      <c r="A16" s="17"/>
      <c r="B16" s="17"/>
      <c r="C16" s="11" t="s">
        <v>25</v>
      </c>
      <c r="D16" s="19"/>
      <c r="E16" s="21"/>
      <c r="F16" s="17"/>
    </row>
    <row r="17" spans="1:6" ht="18.600000000000001" customHeight="1" x14ac:dyDescent="0.2">
      <c r="A17" s="16"/>
      <c r="B17" s="16"/>
      <c r="C17" s="10" t="s">
        <v>26</v>
      </c>
      <c r="D17" s="18" t="s">
        <v>27</v>
      </c>
      <c r="E17" s="20" t="s">
        <v>28</v>
      </c>
      <c r="F17" s="24">
        <f>62244</f>
        <v>62244</v>
      </c>
    </row>
    <row r="18" spans="1:6" ht="17.25" customHeight="1" x14ac:dyDescent="0.2">
      <c r="A18" s="17"/>
      <c r="B18" s="17"/>
      <c r="C18" s="11" t="s">
        <v>29</v>
      </c>
      <c r="D18" s="19"/>
      <c r="E18" s="21"/>
      <c r="F18" s="25"/>
    </row>
    <row r="19" spans="1:6" ht="18.600000000000001" customHeight="1" x14ac:dyDescent="0.2">
      <c r="A19" s="16"/>
      <c r="B19" s="16"/>
      <c r="C19" s="10" t="s">
        <v>30</v>
      </c>
      <c r="D19" s="18" t="s">
        <v>31</v>
      </c>
      <c r="E19" s="20" t="s">
        <v>32</v>
      </c>
      <c r="F19" s="22">
        <f>282637.83</f>
        <v>282637.83</v>
      </c>
    </row>
    <row r="20" spans="1:6" ht="17.25" customHeight="1" x14ac:dyDescent="0.2">
      <c r="A20" s="17"/>
      <c r="B20" s="17"/>
      <c r="C20" s="11" t="s">
        <v>33</v>
      </c>
      <c r="D20" s="19"/>
      <c r="E20" s="21"/>
      <c r="F20" s="23"/>
    </row>
    <row r="21" spans="1:6" ht="18.600000000000001" customHeight="1" x14ac:dyDescent="0.2">
      <c r="A21" s="16"/>
      <c r="B21" s="16"/>
      <c r="C21" s="10" t="s">
        <v>34</v>
      </c>
      <c r="D21" s="20" t="s">
        <v>35</v>
      </c>
      <c r="E21" s="20" t="s">
        <v>36</v>
      </c>
      <c r="F21" s="16"/>
    </row>
    <row r="22" spans="1:6" ht="17.25" customHeight="1" x14ac:dyDescent="0.2">
      <c r="A22" s="17"/>
      <c r="B22" s="17"/>
      <c r="C22" s="11" t="s">
        <v>37</v>
      </c>
      <c r="D22" s="21"/>
      <c r="E22" s="21"/>
      <c r="F22" s="17"/>
    </row>
    <row r="23" spans="1:6" ht="17.25" customHeight="1" x14ac:dyDescent="0.2">
      <c r="A23" s="16"/>
      <c r="B23" s="16"/>
      <c r="C23" s="10" t="s">
        <v>38</v>
      </c>
      <c r="D23" s="20" t="s">
        <v>39</v>
      </c>
      <c r="E23" s="20" t="s">
        <v>40</v>
      </c>
      <c r="F23" s="24">
        <f>19000</f>
        <v>19000</v>
      </c>
    </row>
    <row r="24" spans="1:6" ht="17.25" customHeight="1" x14ac:dyDescent="0.2">
      <c r="A24" s="17"/>
      <c r="B24" s="17"/>
      <c r="C24" s="11" t="s">
        <v>41</v>
      </c>
      <c r="D24" s="21"/>
      <c r="E24" s="21"/>
      <c r="F24" s="25"/>
    </row>
    <row r="25" spans="1:6" ht="17.25" customHeight="1" x14ac:dyDescent="0.2">
      <c r="A25" s="16"/>
      <c r="B25" s="16"/>
      <c r="C25" s="10" t="s">
        <v>42</v>
      </c>
      <c r="D25" s="18" t="s">
        <v>43</v>
      </c>
      <c r="E25" s="20" t="s">
        <v>44</v>
      </c>
      <c r="F25" s="16"/>
    </row>
    <row r="26" spans="1:6" ht="17.25" customHeight="1" x14ac:dyDescent="0.2">
      <c r="A26" s="17"/>
      <c r="B26" s="17"/>
      <c r="C26" s="11" t="s">
        <v>45</v>
      </c>
      <c r="D26" s="19"/>
      <c r="E26" s="21"/>
      <c r="F26" s="17"/>
    </row>
    <row r="27" spans="1:6" ht="18.600000000000001" customHeight="1" x14ac:dyDescent="0.2">
      <c r="A27" s="16"/>
      <c r="B27" s="16"/>
      <c r="C27" s="10" t="s">
        <v>46</v>
      </c>
      <c r="D27" s="20" t="s">
        <v>47</v>
      </c>
      <c r="E27" s="20" t="s">
        <v>48</v>
      </c>
      <c r="F27" s="16"/>
    </row>
    <row r="28" spans="1:6" ht="17.25" customHeight="1" x14ac:dyDescent="0.2">
      <c r="A28" s="17"/>
      <c r="B28" s="17"/>
      <c r="C28" s="11" t="s">
        <v>49</v>
      </c>
      <c r="D28" s="21"/>
      <c r="E28" s="21"/>
      <c r="F28" s="17"/>
    </row>
    <row r="29" spans="1:6" ht="17.25" customHeight="1" x14ac:dyDescent="0.2">
      <c r="A29" s="16"/>
      <c r="B29" s="16"/>
      <c r="C29" s="10" t="s">
        <v>50</v>
      </c>
      <c r="D29" s="18" t="s">
        <v>51</v>
      </c>
      <c r="E29" s="20" t="s">
        <v>52</v>
      </c>
      <c r="F29" s="22">
        <f>107118.2</f>
        <v>107118.2</v>
      </c>
    </row>
    <row r="30" spans="1:6" ht="17.25" customHeight="1" x14ac:dyDescent="0.2">
      <c r="A30" s="17"/>
      <c r="B30" s="17"/>
      <c r="C30" s="11" t="s">
        <v>53</v>
      </c>
      <c r="D30" s="19"/>
      <c r="E30" s="21"/>
      <c r="F30" s="23"/>
    </row>
    <row r="31" spans="1:6" ht="18.600000000000001" customHeight="1" x14ac:dyDescent="0.2">
      <c r="A31" s="16"/>
      <c r="B31" s="16"/>
      <c r="C31" s="10" t="s">
        <v>54</v>
      </c>
      <c r="D31" s="18" t="s">
        <v>55</v>
      </c>
      <c r="E31" s="20" t="s">
        <v>56</v>
      </c>
      <c r="F31" s="22">
        <f>136597.82</f>
        <v>136597.82</v>
      </c>
    </row>
    <row r="32" spans="1:6" ht="17.25" customHeight="1" x14ac:dyDescent="0.2">
      <c r="A32" s="17"/>
      <c r="B32" s="17"/>
      <c r="C32" s="11" t="s">
        <v>57</v>
      </c>
      <c r="D32" s="19"/>
      <c r="E32" s="21"/>
      <c r="F32" s="23"/>
    </row>
    <row r="33" spans="1:6" ht="18.600000000000001" customHeight="1" x14ac:dyDescent="0.2">
      <c r="A33" s="16"/>
      <c r="B33" s="16"/>
      <c r="C33" s="10" t="s">
        <v>58</v>
      </c>
      <c r="D33" s="18" t="s">
        <v>59</v>
      </c>
      <c r="E33" s="20" t="s">
        <v>60</v>
      </c>
      <c r="F33" s="16"/>
    </row>
    <row r="34" spans="1:6" ht="17.25" customHeight="1" x14ac:dyDescent="0.2">
      <c r="A34" s="17"/>
      <c r="B34" s="17"/>
      <c r="C34" s="11" t="s">
        <v>61</v>
      </c>
      <c r="D34" s="19"/>
      <c r="E34" s="21"/>
      <c r="F34" s="17"/>
    </row>
    <row r="35" spans="1:6" ht="18.600000000000001" customHeight="1" x14ac:dyDescent="0.2">
      <c r="A35" s="16"/>
      <c r="B35" s="16"/>
      <c r="C35" s="10" t="s">
        <v>62</v>
      </c>
      <c r="D35" s="18" t="s">
        <v>63</v>
      </c>
      <c r="E35" s="20" t="s">
        <v>64</v>
      </c>
      <c r="F35" s="24">
        <f>2123.49</f>
        <v>2123.4899999999998</v>
      </c>
    </row>
    <row r="36" spans="1:6" ht="17.25" customHeight="1" x14ac:dyDescent="0.2">
      <c r="A36" s="17"/>
      <c r="B36" s="17"/>
      <c r="C36" s="11" t="s">
        <v>65</v>
      </c>
      <c r="D36" s="19"/>
      <c r="E36" s="21"/>
      <c r="F36" s="25"/>
    </row>
    <row r="37" spans="1:6" ht="18.600000000000001" customHeight="1" x14ac:dyDescent="0.2">
      <c r="A37" s="16"/>
      <c r="B37" s="16"/>
      <c r="C37" s="10" t="s">
        <v>66</v>
      </c>
      <c r="D37" s="18" t="s">
        <v>67</v>
      </c>
      <c r="E37" s="20" t="s">
        <v>68</v>
      </c>
      <c r="F37" s="16"/>
    </row>
    <row r="38" spans="1:6" ht="17.25" customHeight="1" x14ac:dyDescent="0.2">
      <c r="A38" s="17"/>
      <c r="B38" s="17"/>
      <c r="C38" s="11" t="s">
        <v>69</v>
      </c>
      <c r="D38" s="19"/>
      <c r="E38" s="21"/>
      <c r="F38" s="17"/>
    </row>
    <row r="39" spans="1:6" ht="18.600000000000001" customHeight="1" x14ac:dyDescent="0.2">
      <c r="A39" s="16"/>
      <c r="B39" s="16"/>
      <c r="C39" s="10" t="s">
        <v>70</v>
      </c>
      <c r="D39" s="20" t="s">
        <v>71</v>
      </c>
      <c r="E39" s="20" t="s">
        <v>72</v>
      </c>
      <c r="F39" s="24">
        <f>14417.2</f>
        <v>14417.2</v>
      </c>
    </row>
    <row r="40" spans="1:6" ht="17.25" customHeight="1" x14ac:dyDescent="0.2">
      <c r="A40" s="17"/>
      <c r="B40" s="17"/>
      <c r="C40" s="11" t="s">
        <v>73</v>
      </c>
      <c r="D40" s="21"/>
      <c r="E40" s="21"/>
      <c r="F40" s="25"/>
    </row>
    <row r="41" spans="1:6" ht="17.25" customHeight="1" x14ac:dyDescent="0.2">
      <c r="A41" s="16"/>
      <c r="B41" s="16"/>
      <c r="C41" s="10" t="s">
        <v>74</v>
      </c>
      <c r="D41" s="18" t="s">
        <v>75</v>
      </c>
      <c r="E41" s="20" t="s">
        <v>76</v>
      </c>
      <c r="F41" s="16"/>
    </row>
    <row r="42" spans="1:6" ht="17.25" customHeight="1" x14ac:dyDescent="0.2">
      <c r="A42" s="17"/>
      <c r="B42" s="17"/>
      <c r="C42" s="11" t="s">
        <v>77</v>
      </c>
      <c r="D42" s="19"/>
      <c r="E42" s="21"/>
      <c r="F42" s="17"/>
    </row>
    <row r="43" spans="1:6" ht="18.600000000000001" customHeight="1" x14ac:dyDescent="0.2">
      <c r="A43" s="16"/>
      <c r="B43" s="16"/>
      <c r="C43" s="10" t="s">
        <v>78</v>
      </c>
      <c r="D43" s="20" t="s">
        <v>79</v>
      </c>
      <c r="E43" s="20" t="s">
        <v>80</v>
      </c>
      <c r="F43" s="16"/>
    </row>
    <row r="44" spans="1:6" ht="17.25" customHeight="1" x14ac:dyDescent="0.2">
      <c r="A44" s="17"/>
      <c r="B44" s="17"/>
      <c r="C44" s="11" t="s">
        <v>81</v>
      </c>
      <c r="D44" s="21"/>
      <c r="E44" s="21"/>
      <c r="F44" s="17"/>
    </row>
    <row r="45" spans="1:6" ht="17.25" customHeight="1" x14ac:dyDescent="0.2">
      <c r="A45" s="16"/>
      <c r="B45" s="16"/>
      <c r="C45" s="10" t="s">
        <v>82</v>
      </c>
      <c r="D45" s="20" t="s">
        <v>83</v>
      </c>
      <c r="E45" s="20" t="s">
        <v>84</v>
      </c>
      <c r="F45" s="16"/>
    </row>
    <row r="46" spans="1:6" ht="17.25" customHeight="1" x14ac:dyDescent="0.2">
      <c r="A46" s="17"/>
      <c r="B46" s="17"/>
      <c r="C46" s="11" t="s">
        <v>85</v>
      </c>
      <c r="D46" s="21"/>
      <c r="E46" s="21"/>
      <c r="F46" s="17"/>
    </row>
    <row r="47" spans="1:6" ht="17.25" customHeight="1" x14ac:dyDescent="0.2">
      <c r="A47" s="16"/>
      <c r="B47" s="16"/>
      <c r="C47" s="10" t="s">
        <v>86</v>
      </c>
      <c r="D47" s="20" t="s">
        <v>87</v>
      </c>
      <c r="E47" s="20" t="s">
        <v>88</v>
      </c>
      <c r="F47" s="16"/>
    </row>
    <row r="48" spans="1:6" ht="17.25" customHeight="1" x14ac:dyDescent="0.2">
      <c r="A48" s="17"/>
      <c r="B48" s="17"/>
      <c r="C48" s="11" t="s">
        <v>89</v>
      </c>
      <c r="D48" s="21"/>
      <c r="E48" s="21"/>
      <c r="F48" s="17"/>
    </row>
    <row r="49" spans="1:6" ht="17.25" customHeight="1" x14ac:dyDescent="0.2">
      <c r="A49" s="16"/>
      <c r="B49" s="16"/>
      <c r="C49" s="10" t="s">
        <v>90</v>
      </c>
      <c r="D49" s="20" t="s">
        <v>91</v>
      </c>
      <c r="E49" s="20" t="s">
        <v>92</v>
      </c>
      <c r="F49" s="16"/>
    </row>
    <row r="50" spans="1:6" ht="17.25" customHeight="1" x14ac:dyDescent="0.2">
      <c r="A50" s="17"/>
      <c r="B50" s="17"/>
      <c r="C50" s="11" t="s">
        <v>93</v>
      </c>
      <c r="D50" s="21"/>
      <c r="E50" s="21"/>
      <c r="F50" s="17"/>
    </row>
    <row r="51" spans="1:6" ht="17.25" customHeight="1" x14ac:dyDescent="0.2">
      <c r="A51" s="16"/>
      <c r="B51" s="16"/>
      <c r="C51" s="10" t="s">
        <v>94</v>
      </c>
      <c r="D51" s="20" t="s">
        <v>95</v>
      </c>
      <c r="E51" s="20" t="s">
        <v>96</v>
      </c>
      <c r="F51" s="24">
        <f>92025.08</f>
        <v>92025.08</v>
      </c>
    </row>
    <row r="52" spans="1:6" ht="17.25" customHeight="1" x14ac:dyDescent="0.2">
      <c r="A52" s="17"/>
      <c r="B52" s="17"/>
      <c r="C52" s="11" t="s">
        <v>97</v>
      </c>
      <c r="D52" s="21"/>
      <c r="E52" s="21"/>
      <c r="F52" s="25"/>
    </row>
    <row r="53" spans="1:6" ht="17.25" customHeight="1" x14ac:dyDescent="0.2">
      <c r="A53" s="16"/>
      <c r="B53" s="16"/>
      <c r="C53" s="10" t="s">
        <v>98</v>
      </c>
      <c r="D53" s="18" t="s">
        <v>99</v>
      </c>
      <c r="E53" s="20" t="s">
        <v>100</v>
      </c>
      <c r="F53" s="16"/>
    </row>
    <row r="54" spans="1:6" ht="17.25" customHeight="1" x14ac:dyDescent="0.2">
      <c r="A54" s="17"/>
      <c r="B54" s="17"/>
      <c r="C54" s="11" t="s">
        <v>101</v>
      </c>
      <c r="D54" s="19"/>
      <c r="E54" s="21"/>
      <c r="F54" s="17"/>
    </row>
    <row r="55" spans="1:6" ht="18.600000000000001" customHeight="1" x14ac:dyDescent="0.2">
      <c r="A55" s="16"/>
      <c r="B55" s="16"/>
      <c r="C55" s="10" t="s">
        <v>102</v>
      </c>
      <c r="D55" s="18" t="s">
        <v>103</v>
      </c>
      <c r="E55" s="20" t="s">
        <v>104</v>
      </c>
      <c r="F55" s="16"/>
    </row>
    <row r="56" spans="1:6" ht="17.25" customHeight="1" x14ac:dyDescent="0.2">
      <c r="A56" s="17"/>
      <c r="B56" s="17"/>
      <c r="C56" s="11" t="s">
        <v>105</v>
      </c>
      <c r="D56" s="19"/>
      <c r="E56" s="21"/>
      <c r="F56" s="17"/>
    </row>
    <row r="57" spans="1:6" ht="18.600000000000001" customHeight="1" x14ac:dyDescent="0.2">
      <c r="A57" s="16"/>
      <c r="B57" s="16"/>
      <c r="C57" s="10" t="s">
        <v>106</v>
      </c>
      <c r="D57" s="20" t="s">
        <v>107</v>
      </c>
      <c r="E57" s="20" t="s">
        <v>108</v>
      </c>
      <c r="F57" s="16"/>
    </row>
    <row r="58" spans="1:6" ht="17.25" customHeight="1" x14ac:dyDescent="0.2">
      <c r="A58" s="17"/>
      <c r="B58" s="17"/>
      <c r="C58" s="11" t="s">
        <v>109</v>
      </c>
      <c r="D58" s="21"/>
      <c r="E58" s="21"/>
      <c r="F58" s="17"/>
    </row>
    <row r="59" spans="1:6" ht="17.25" customHeight="1" x14ac:dyDescent="0.2">
      <c r="A59" s="16"/>
      <c r="B59" s="16"/>
      <c r="C59" s="10" t="s">
        <v>110</v>
      </c>
      <c r="D59" s="18" t="s">
        <v>111</v>
      </c>
      <c r="E59" s="20" t="s">
        <v>112</v>
      </c>
      <c r="F59" s="22">
        <f>107774.56</f>
        <v>107774.56</v>
      </c>
    </row>
    <row r="60" spans="1:6" ht="17.25" customHeight="1" x14ac:dyDescent="0.2">
      <c r="A60" s="17"/>
      <c r="B60" s="17"/>
      <c r="C60" s="11" t="s">
        <v>113</v>
      </c>
      <c r="D60" s="19"/>
      <c r="E60" s="21"/>
      <c r="F60" s="23"/>
    </row>
    <row r="61" spans="1:6" ht="18.600000000000001" customHeight="1" x14ac:dyDescent="0.2">
      <c r="A61" s="16"/>
      <c r="B61" s="16"/>
      <c r="C61" s="10" t="s">
        <v>114</v>
      </c>
      <c r="D61" s="18" t="s">
        <v>103</v>
      </c>
      <c r="E61" s="20" t="s">
        <v>115</v>
      </c>
      <c r="F61" s="16"/>
    </row>
    <row r="62" spans="1:6" ht="17.25" customHeight="1" x14ac:dyDescent="0.2">
      <c r="A62" s="17"/>
      <c r="B62" s="17"/>
      <c r="C62" s="11" t="s">
        <v>116</v>
      </c>
      <c r="D62" s="19"/>
      <c r="E62" s="21"/>
      <c r="F62" s="17"/>
    </row>
    <row r="63" spans="1:6" ht="18.600000000000001" customHeight="1" x14ac:dyDescent="0.2">
      <c r="A63" s="16"/>
      <c r="B63" s="16"/>
      <c r="C63" s="12"/>
      <c r="D63" s="16"/>
      <c r="E63" s="16"/>
      <c r="F63" s="16"/>
    </row>
    <row r="64" spans="1:6" ht="17.25" customHeight="1" x14ac:dyDescent="0.2">
      <c r="A64" s="17"/>
      <c r="B64" s="17"/>
      <c r="C64" s="11" t="s">
        <v>33</v>
      </c>
      <c r="D64" s="17"/>
      <c r="E64" s="17"/>
      <c r="F64" s="17"/>
    </row>
    <row r="65" spans="1:6" ht="18.600000000000001" customHeight="1" x14ac:dyDescent="0.2">
      <c r="A65" s="16"/>
      <c r="B65" s="16"/>
      <c r="C65" s="12"/>
      <c r="D65" s="16"/>
      <c r="E65" s="16"/>
      <c r="F65" s="16"/>
    </row>
    <row r="66" spans="1:6" ht="17.25" customHeight="1" x14ac:dyDescent="0.2">
      <c r="A66" s="17"/>
      <c r="B66" s="17"/>
      <c r="C66" s="11" t="s">
        <v>33</v>
      </c>
      <c r="D66" s="17"/>
      <c r="E66" s="17"/>
      <c r="F66" s="17"/>
    </row>
    <row r="67" spans="1:6" ht="18.600000000000001" customHeight="1" x14ac:dyDescent="0.2">
      <c r="A67" s="16"/>
      <c r="B67" s="16"/>
      <c r="C67" s="12"/>
      <c r="D67" s="16"/>
      <c r="E67" s="16"/>
      <c r="F67" s="16"/>
    </row>
    <row r="68" spans="1:6" ht="17.25" customHeight="1" x14ac:dyDescent="0.2">
      <c r="A68" s="17"/>
      <c r="B68" s="17"/>
      <c r="C68" s="11" t="s">
        <v>33</v>
      </c>
      <c r="D68" s="17"/>
      <c r="E68" s="17"/>
      <c r="F68" s="17"/>
    </row>
    <row r="69" spans="1:6" ht="51" customHeight="1" x14ac:dyDescent="0.2">
      <c r="A69" s="26" t="s">
        <v>117</v>
      </c>
      <c r="B69" s="26"/>
      <c r="C69" s="26"/>
      <c r="D69" s="26"/>
      <c r="E69" s="26"/>
      <c r="F69" s="26"/>
    </row>
    <row r="70" spans="1:6" ht="17.25" customHeight="1" x14ac:dyDescent="0.2">
      <c r="A70" s="13" t="s">
        <v>118</v>
      </c>
    </row>
    <row r="71" spans="1:6" ht="17.25" customHeight="1" x14ac:dyDescent="0.2">
      <c r="A71" s="15" t="s">
        <v>121</v>
      </c>
    </row>
    <row r="72" spans="1:6" ht="17.25" customHeight="1" x14ac:dyDescent="0.2">
      <c r="A72" s="13" t="s">
        <v>119</v>
      </c>
    </row>
    <row r="73" spans="1:6" ht="17.850000000000001" customHeight="1" x14ac:dyDescent="0.2">
      <c r="A73" s="27" t="s">
        <v>120</v>
      </c>
    </row>
    <row r="74" spans="1:6" ht="27.95" customHeight="1" x14ac:dyDescent="0.2"/>
    <row r="75" spans="1:6" ht="0.95" customHeight="1" x14ac:dyDescent="0.2"/>
    <row r="76" spans="1:6" ht="48" customHeight="1" x14ac:dyDescent="0.2"/>
    <row r="77" spans="1:6" ht="48" customHeight="1" x14ac:dyDescent="0.2"/>
    <row r="78" spans="1:6" ht="8.25" customHeight="1" x14ac:dyDescent="0.2">
      <c r="A78" s="14"/>
    </row>
  </sheetData>
  <mergeCells count="146">
    <mergeCell ref="A69:F69"/>
    <mergeCell ref="A11:A12"/>
    <mergeCell ref="B11:B12"/>
    <mergeCell ref="D11:D12"/>
    <mergeCell ref="E11:E12"/>
    <mergeCell ref="F11:F12"/>
    <mergeCell ref="A13:A14"/>
    <mergeCell ref="B13:B14"/>
    <mergeCell ref="D13:D14"/>
    <mergeCell ref="E13:E14"/>
    <mergeCell ref="F13:F14"/>
    <mergeCell ref="A15:A16"/>
    <mergeCell ref="B15:B16"/>
    <mergeCell ref="D15:D16"/>
    <mergeCell ref="E15:E16"/>
    <mergeCell ref="F15:F16"/>
    <mergeCell ref="A17:A18"/>
    <mergeCell ref="B17:B18"/>
    <mergeCell ref="D17:D18"/>
    <mergeCell ref="E17:E18"/>
    <mergeCell ref="F17:F18"/>
    <mergeCell ref="A19:A20"/>
    <mergeCell ref="B19:B20"/>
    <mergeCell ref="D19:D20"/>
    <mergeCell ref="E19:E20"/>
    <mergeCell ref="F19:F20"/>
    <mergeCell ref="A21:A22"/>
    <mergeCell ref="B21:B22"/>
    <mergeCell ref="D21:D22"/>
    <mergeCell ref="E21:E22"/>
    <mergeCell ref="F21:F22"/>
    <mergeCell ref="A23:A24"/>
    <mergeCell ref="B23:B24"/>
    <mergeCell ref="D23:D24"/>
    <mergeCell ref="E23:E24"/>
    <mergeCell ref="F23:F24"/>
    <mergeCell ref="A25:A26"/>
    <mergeCell ref="B25:B26"/>
    <mergeCell ref="D25:D26"/>
    <mergeCell ref="E25:E26"/>
    <mergeCell ref="F25:F26"/>
    <mergeCell ref="A27:A28"/>
    <mergeCell ref="B27:B28"/>
    <mergeCell ref="D27:D28"/>
    <mergeCell ref="E27:E28"/>
    <mergeCell ref="F27:F28"/>
    <mergeCell ref="A29:A30"/>
    <mergeCell ref="B29:B30"/>
    <mergeCell ref="D29:D30"/>
    <mergeCell ref="E29:E30"/>
    <mergeCell ref="F29:F30"/>
    <mergeCell ref="A31:A32"/>
    <mergeCell ref="B31:B32"/>
    <mergeCell ref="D31:D32"/>
    <mergeCell ref="E31:E32"/>
    <mergeCell ref="F31:F32"/>
    <mergeCell ref="A33:A34"/>
    <mergeCell ref="B33:B34"/>
    <mergeCell ref="D33:D34"/>
    <mergeCell ref="E33:E34"/>
    <mergeCell ref="F33:F34"/>
    <mergeCell ref="A35:A36"/>
    <mergeCell ref="B35:B36"/>
    <mergeCell ref="D35:D36"/>
    <mergeCell ref="E35:E36"/>
    <mergeCell ref="F35:F36"/>
    <mergeCell ref="A37:A38"/>
    <mergeCell ref="B37:B38"/>
    <mergeCell ref="D37:D38"/>
    <mergeCell ref="E37:E38"/>
    <mergeCell ref="F37:F38"/>
    <mergeCell ref="A39:A40"/>
    <mergeCell ref="B39:B40"/>
    <mergeCell ref="D39:D40"/>
    <mergeCell ref="E39:E40"/>
    <mergeCell ref="F39:F40"/>
    <mergeCell ref="A41:A42"/>
    <mergeCell ref="B41:B42"/>
    <mergeCell ref="D41:D42"/>
    <mergeCell ref="E41:E42"/>
    <mergeCell ref="F41:F42"/>
    <mergeCell ref="A43:A44"/>
    <mergeCell ref="B43:B44"/>
    <mergeCell ref="D43:D44"/>
    <mergeCell ref="E43:E44"/>
    <mergeCell ref="F43:F44"/>
    <mergeCell ref="A45:A46"/>
    <mergeCell ref="B45:B46"/>
    <mergeCell ref="D45:D46"/>
    <mergeCell ref="E45:E46"/>
    <mergeCell ref="F45:F46"/>
    <mergeCell ref="A47:A48"/>
    <mergeCell ref="B47:B48"/>
    <mergeCell ref="D47:D48"/>
    <mergeCell ref="E47:E48"/>
    <mergeCell ref="F47:F48"/>
    <mergeCell ref="A49:A50"/>
    <mergeCell ref="B49:B50"/>
    <mergeCell ref="D49:D50"/>
    <mergeCell ref="E49:E50"/>
    <mergeCell ref="F49:F50"/>
    <mergeCell ref="A51:A52"/>
    <mergeCell ref="B51:B52"/>
    <mergeCell ref="D51:D52"/>
    <mergeCell ref="E51:E52"/>
    <mergeCell ref="F51:F52"/>
    <mergeCell ref="A53:A54"/>
    <mergeCell ref="B53:B54"/>
    <mergeCell ref="D53:D54"/>
    <mergeCell ref="E53:E54"/>
    <mergeCell ref="F53:F54"/>
    <mergeCell ref="A55:A56"/>
    <mergeCell ref="B55:B56"/>
    <mergeCell ref="D55:D56"/>
    <mergeCell ref="E55:E56"/>
    <mergeCell ref="F55:F56"/>
    <mergeCell ref="A57:A58"/>
    <mergeCell ref="B57:B58"/>
    <mergeCell ref="D57:D58"/>
    <mergeCell ref="E57:E58"/>
    <mergeCell ref="F57:F58"/>
    <mergeCell ref="A59:A60"/>
    <mergeCell ref="B59:B60"/>
    <mergeCell ref="D59:D60"/>
    <mergeCell ref="E59:E60"/>
    <mergeCell ref="F59:F60"/>
    <mergeCell ref="A61:A62"/>
    <mergeCell ref="B61:B62"/>
    <mergeCell ref="D61:D62"/>
    <mergeCell ref="E61:E62"/>
    <mergeCell ref="F61:F62"/>
    <mergeCell ref="A67:A68"/>
    <mergeCell ref="B67:B68"/>
    <mergeCell ref="D67:D68"/>
    <mergeCell ref="E67:E68"/>
    <mergeCell ref="F67:F68"/>
    <mergeCell ref="A63:A64"/>
    <mergeCell ref="B63:B64"/>
    <mergeCell ref="D63:D64"/>
    <mergeCell ref="E63:E64"/>
    <mergeCell ref="F63:F64"/>
    <mergeCell ref="A65:A66"/>
    <mergeCell ref="B65:B66"/>
    <mergeCell ref="D65:D66"/>
    <mergeCell ref="E65:E66"/>
    <mergeCell ref="F65:F66"/>
  </mergeCells>
  <pageMargins left="0.25" right="0.25" top="0.75" bottom="0.75" header="0.3" footer="0.3"/>
  <pageSetup scale="5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Kyle Wilson</cp:lastModifiedBy>
  <cp:lastPrinted>2023-11-01T16:14:31Z</cp:lastPrinted>
  <dcterms:created xsi:type="dcterms:W3CDTF">2023-11-01T15:56:56Z</dcterms:created>
  <dcterms:modified xsi:type="dcterms:W3CDTF">2023-11-01T19:19:24Z</dcterms:modified>
</cp:coreProperties>
</file>