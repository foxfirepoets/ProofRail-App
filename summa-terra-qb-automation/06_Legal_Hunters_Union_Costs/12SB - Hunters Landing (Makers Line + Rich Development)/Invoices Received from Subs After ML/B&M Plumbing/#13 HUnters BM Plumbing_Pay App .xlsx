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B&amp;M customer job files\M-P\Makers Line\Hunters Landing\Billing\#12 Feb\"/>
    </mc:Choice>
  </mc:AlternateContent>
  <xr:revisionPtr revIDLastSave="0" documentId="13_ncr:1_{97C39DFF-08BF-404C-99BA-35A6B1EB35C4}" xr6:coauthVersionLast="47" xr6:coauthVersionMax="47" xr10:uidLastSave="{00000000-0000-0000-0000-000000000000}"/>
  <bookViews>
    <workbookView xWindow="28680" yWindow="-120" windowWidth="29040" windowHeight="15840" tabRatio="704" xr2:uid="{00000000-000D-0000-FFFF-FFFF00000000}"/>
  </bookViews>
  <sheets>
    <sheet name="G702" sheetId="1" r:id="rId1"/>
    <sheet name="G703" sheetId="2" r:id="rId2"/>
    <sheet name="CO 703" sheetId="3" r:id="rId3"/>
  </sheets>
  <definedNames>
    <definedName name="_Regression_Int" localSheetId="2" hidden="1">1</definedName>
    <definedName name="_Regression_Int" localSheetId="0" hidden="1">1</definedName>
    <definedName name="_Regression_Int" localSheetId="1" hidden="1">1</definedName>
    <definedName name="GRAND" localSheetId="2">'CO 703'!#REF!</definedName>
    <definedName name="GRAND">'G703'!#REF!</definedName>
    <definedName name="_xlnm.Print_Area" localSheetId="2">'CO 703'!$B$1:$N$37</definedName>
    <definedName name="_xlnm.Print_Area" localSheetId="0">'G702'!$A$1:$O$55</definedName>
    <definedName name="_xlnm.Print_Area" localSheetId="1">'G703'!$A$1:$K$30</definedName>
    <definedName name="Print_Area_MI" localSheetId="2">'CO 703'!$B$12:$K$38</definedName>
    <definedName name="Print_Area_MI" localSheetId="1">'G703'!$B$12:$K$30</definedName>
    <definedName name="Print_Area_MI">'G702'!$A$1:$O$54</definedName>
    <definedName name="_xlnm.Print_Titles" localSheetId="2">'CO 703'!$1:$11</definedName>
    <definedName name="_xlnm.Print_Titles" localSheetId="1">'G703'!$1:$11</definedName>
    <definedName name="Print_Titles_MI" localSheetId="2">'CO 703'!$1:$11</definedName>
    <definedName name="Print_Titles_MI" localSheetId="1">'G703'!$1:$11</definedName>
    <definedName name="Print_Titles_MI">'G702'!$67:$374,'G702'!$B$1:$O$16383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5" i="2" l="1"/>
  <c r="K26" i="2"/>
  <c r="K27" i="2"/>
  <c r="H25" i="2"/>
  <c r="H26" i="2"/>
  <c r="H27" i="2"/>
  <c r="I27" i="2" s="1"/>
  <c r="I25" i="2"/>
  <c r="I26" i="2"/>
  <c r="H20" i="2"/>
  <c r="J20" i="2" s="1"/>
  <c r="I20" i="2" l="1"/>
  <c r="K20" i="2"/>
  <c r="H24" i="2" l="1"/>
  <c r="K24" i="2" s="1"/>
  <c r="H23" i="2"/>
  <c r="J23" i="2" s="1"/>
  <c r="H22" i="2"/>
  <c r="K22" i="2" s="1"/>
  <c r="H21" i="2"/>
  <c r="J21" i="2" s="1"/>
  <c r="H19" i="2"/>
  <c r="K19" i="2" s="1"/>
  <c r="H18" i="2"/>
  <c r="J18" i="2" s="1"/>
  <c r="E29" i="2"/>
  <c r="E41" i="3" s="1"/>
  <c r="H16" i="2"/>
  <c r="K16" i="2" s="1"/>
  <c r="H17" i="2"/>
  <c r="K17" i="2" s="1"/>
  <c r="H28" i="2"/>
  <c r="I28" i="2" s="1"/>
  <c r="B32" i="1"/>
  <c r="J5" i="3"/>
  <c r="J4" i="3"/>
  <c r="J2" i="3"/>
  <c r="G37" i="3"/>
  <c r="F37" i="3"/>
  <c r="E37" i="3"/>
  <c r="D37" i="3"/>
  <c r="F49" i="1"/>
  <c r="E49" i="1"/>
  <c r="G29" i="2"/>
  <c r="G41" i="3" s="1"/>
  <c r="F29" i="2"/>
  <c r="F41" i="3" s="1"/>
  <c r="D29" i="2"/>
  <c r="E52" i="1"/>
  <c r="H12" i="2"/>
  <c r="K12" i="2" s="1"/>
  <c r="J5" i="2"/>
  <c r="J4" i="2"/>
  <c r="H33" i="3"/>
  <c r="K33" i="3"/>
  <c r="H34" i="3"/>
  <c r="K34" i="3"/>
  <c r="H35" i="3"/>
  <c r="K35" i="3"/>
  <c r="H36" i="3"/>
  <c r="K36" i="3"/>
  <c r="I35" i="3"/>
  <c r="J34" i="3"/>
  <c r="I36" i="3"/>
  <c r="J36" i="3"/>
  <c r="J35" i="3"/>
  <c r="I34" i="3"/>
  <c r="J33" i="3"/>
  <c r="I33" i="3"/>
  <c r="H30" i="3"/>
  <c r="K30" i="3"/>
  <c r="H31" i="3"/>
  <c r="K31" i="3"/>
  <c r="H32" i="3"/>
  <c r="K32" i="3"/>
  <c r="J31" i="3"/>
  <c r="I32" i="3"/>
  <c r="J32" i="3"/>
  <c r="I31" i="3"/>
  <c r="J30" i="3"/>
  <c r="I30" i="3"/>
  <c r="H13" i="3"/>
  <c r="I13" i="3" s="1"/>
  <c r="H14" i="3"/>
  <c r="K14" i="3" s="1"/>
  <c r="H15" i="3"/>
  <c r="K15" i="3"/>
  <c r="H16" i="3"/>
  <c r="K16" i="3"/>
  <c r="H17" i="3"/>
  <c r="K17" i="3"/>
  <c r="H18" i="3"/>
  <c r="K18" i="3"/>
  <c r="H19" i="3"/>
  <c r="K19" i="3"/>
  <c r="H20" i="3"/>
  <c r="K20" i="3"/>
  <c r="H21" i="3"/>
  <c r="K21" i="3"/>
  <c r="H22" i="3"/>
  <c r="K22" i="3"/>
  <c r="H23" i="3"/>
  <c r="K23" i="3"/>
  <c r="H24" i="3"/>
  <c r="K24" i="3"/>
  <c r="H25" i="3"/>
  <c r="K25" i="3"/>
  <c r="H26" i="3"/>
  <c r="K26" i="3"/>
  <c r="H27" i="3"/>
  <c r="K27" i="3"/>
  <c r="H28" i="3"/>
  <c r="K28" i="3"/>
  <c r="H29" i="3"/>
  <c r="K29" i="3"/>
  <c r="H12" i="3"/>
  <c r="K12" i="3" s="1"/>
  <c r="H13" i="2"/>
  <c r="J13" i="2" s="1"/>
  <c r="H14" i="2"/>
  <c r="K14" i="2" s="1"/>
  <c r="H15" i="2"/>
  <c r="J15" i="2" s="1"/>
  <c r="J20" i="3"/>
  <c r="J27" i="3"/>
  <c r="J19" i="3"/>
  <c r="J24" i="3"/>
  <c r="J23" i="3"/>
  <c r="J28" i="3"/>
  <c r="J16" i="3"/>
  <c r="J15" i="3"/>
  <c r="J18" i="3"/>
  <c r="J26" i="3"/>
  <c r="J22" i="3"/>
  <c r="J29" i="3"/>
  <c r="J25" i="3"/>
  <c r="J21" i="3"/>
  <c r="J17" i="3"/>
  <c r="I15" i="3"/>
  <c r="I19" i="3"/>
  <c r="I25" i="3"/>
  <c r="I23" i="3"/>
  <c r="I21" i="3"/>
  <c r="I29" i="3"/>
  <c r="I27" i="3"/>
  <c r="I17" i="3"/>
  <c r="I16" i="3"/>
  <c r="I18" i="3"/>
  <c r="I20" i="3"/>
  <c r="I22" i="3"/>
  <c r="I24" i="3"/>
  <c r="I26" i="3"/>
  <c r="I28" i="3"/>
  <c r="F25" i="1" l="1"/>
  <c r="D41" i="3"/>
  <c r="K23" i="2"/>
  <c r="K21" i="2"/>
  <c r="J14" i="3"/>
  <c r="I14" i="3"/>
  <c r="K18" i="2"/>
  <c r="I17" i="2"/>
  <c r="J17" i="2"/>
  <c r="K13" i="3"/>
  <c r="K37" i="3" s="1"/>
  <c r="J13" i="3"/>
  <c r="J12" i="3"/>
  <c r="H37" i="3"/>
  <c r="I37" i="3" s="1"/>
  <c r="I12" i="3"/>
  <c r="I13" i="2"/>
  <c r="I18" i="2"/>
  <c r="I21" i="2"/>
  <c r="I23" i="2"/>
  <c r="I19" i="2"/>
  <c r="I22" i="2"/>
  <c r="I24" i="2"/>
  <c r="J19" i="2"/>
  <c r="J22" i="2"/>
  <c r="J24" i="2"/>
  <c r="J28" i="2"/>
  <c r="J16" i="2"/>
  <c r="I16" i="2"/>
  <c r="K28" i="2"/>
  <c r="K15" i="2"/>
  <c r="F26" i="1"/>
  <c r="I12" i="2"/>
  <c r="J12" i="2"/>
  <c r="I15" i="2"/>
  <c r="I14" i="2"/>
  <c r="H29" i="2"/>
  <c r="H41" i="3" s="1"/>
  <c r="J14" i="2"/>
  <c r="K13" i="2"/>
  <c r="F27" i="1" l="1"/>
  <c r="I41" i="3"/>
  <c r="J37" i="3"/>
  <c r="F28" i="1"/>
  <c r="J29" i="2"/>
  <c r="K29" i="2"/>
  <c r="I29" i="2"/>
  <c r="J41" i="3" l="1"/>
  <c r="E32" i="1"/>
  <c r="F35" i="1" s="1"/>
  <c r="F40" i="1" s="1"/>
  <c r="K41" i="3"/>
  <c r="F39" i="1" l="1"/>
  <c r="K43" i="1" s="1"/>
</calcChain>
</file>

<file path=xl/sharedStrings.xml><?xml version="1.0" encoding="utf-8"?>
<sst xmlns="http://schemas.openxmlformats.org/spreadsheetml/2006/main" count="214" uniqueCount="154">
  <si>
    <t>APPLICATION AND CERTIFICATION FOR PAYMENT</t>
  </si>
  <si>
    <t>AIA DOCUMENT G702</t>
  </si>
  <si>
    <t>PROJECT:</t>
  </si>
  <si>
    <t>APPLICATION NO:</t>
  </si>
  <si>
    <t>Distribution to:</t>
  </si>
  <si>
    <t>X</t>
  </si>
  <si>
    <t>OWNER</t>
  </si>
  <si>
    <t>ARCHITECT</t>
  </si>
  <si>
    <t>PERIOD TO:</t>
  </si>
  <si>
    <t>CONTRACTOR</t>
  </si>
  <si>
    <t>VIA ARCHITECT:</t>
  </si>
  <si>
    <t>CONST. MGR.</t>
  </si>
  <si>
    <t xml:space="preserve"> </t>
  </si>
  <si>
    <t>Lender</t>
  </si>
  <si>
    <t>CONTRACT FOR:</t>
  </si>
  <si>
    <t>CONTRACT DATE:</t>
  </si>
  <si>
    <t>CONTRACTOR'S APPLICATION FOR PAYMENT</t>
  </si>
  <si>
    <t xml:space="preserve">The undersigned Contractor certifies that to the best of the Contractor's knowledge, </t>
  </si>
  <si>
    <t>Application is made for payment, as shown below, in connection with the Contract.</t>
  </si>
  <si>
    <t>information and belief the Work covered by this Application for Payment has been</t>
  </si>
  <si>
    <t>Continuation Sheet, AIA Document G703, is attached.</t>
  </si>
  <si>
    <t xml:space="preserve">completed in accordance with the Contract Documents, that all amounts have been paid by </t>
  </si>
  <si>
    <t xml:space="preserve">the Contractor for Work for which previous Certificates for Payment were issued and </t>
  </si>
  <si>
    <t>payments received from the Owner, and that current payment shown herein is now due.</t>
  </si>
  <si>
    <t xml:space="preserve">1.  ORIGINAL CONTRACT SUM </t>
  </si>
  <si>
    <t xml:space="preserve"> $</t>
  </si>
  <si>
    <t>CONTRACTOR:</t>
  </si>
  <si>
    <t>$</t>
  </si>
  <si>
    <t>By:</t>
  </si>
  <si>
    <t xml:space="preserve"> Date:</t>
  </si>
  <si>
    <t>5.  RETAINAGE:</t>
  </si>
  <si>
    <t>State of:</t>
  </si>
  <si>
    <t>County of:</t>
  </si>
  <si>
    <t>Subscribed and sworn to before me this</t>
  </si>
  <si>
    <t xml:space="preserve">          day of</t>
  </si>
  <si>
    <t>Notary Public:</t>
  </si>
  <si>
    <t>My Commission expires:</t>
  </si>
  <si>
    <t>ARCHITECT'S CERTIFICATE FOR PAYMENT</t>
  </si>
  <si>
    <t xml:space="preserve">6.  TOTAL EARNED LESS RETAINAGE </t>
  </si>
  <si>
    <t>In accordance with the Contract Documents, based on on-site observations and the data</t>
  </si>
  <si>
    <t>comprising the application, the Architect certifies to the Owner that to the best of  the</t>
  </si>
  <si>
    <t xml:space="preserve"> Architect's knowledge, information and belief the Work has progressed as indicated,</t>
  </si>
  <si>
    <t>the quality of the Work is in accordance with the Contract Documents, and the Contractor</t>
  </si>
  <si>
    <t xml:space="preserve">8.  CURRENT PAYMENT DUE </t>
  </si>
  <si>
    <t>is entitled to payment of the AMOUNT CERTIFIED.</t>
  </si>
  <si>
    <t>CHANGE ORDER SUMMARY</t>
  </si>
  <si>
    <t>ADDITIONS</t>
  </si>
  <si>
    <t>DEDUCTIONS</t>
  </si>
  <si>
    <t>(Attach explanation if amount certified differs from the amount applied. Initial all figures on this</t>
  </si>
  <si>
    <t>Application and onthe Continuation Sheet that are changed to conform with the amount certified.)</t>
  </si>
  <si>
    <t>ARCHITECT:</t>
  </si>
  <si>
    <t xml:space="preserve">     Total approved this Month</t>
  </si>
  <si>
    <t xml:space="preserve">     TOTALS</t>
  </si>
  <si>
    <t xml:space="preserve">This Certificate is not negotiable.  The AMOUNT CERTIFIED is payable only to the </t>
  </si>
  <si>
    <t xml:space="preserve">Contractor named herein. Issuance, payment and acceptance of payment are without </t>
  </si>
  <si>
    <t xml:space="preserve">     NET CHANGES by Change Order</t>
  </si>
  <si>
    <t>prejudice to any rights of the Owner or Contractor under this Contract.</t>
  </si>
  <si>
    <t>AIA DOCUMENT G702 · APPLICATION AND CERTIFICATION FOR PAYMENT · 1992 EDITION · AIA  · ©1992</t>
  </si>
  <si>
    <t>THE AMERICAN INSTITUTE OF ARCHITECTS, 1735 NEW YORK AVE., N.W., WASHINGTON, DC 20006-5292</t>
  </si>
  <si>
    <t>Users may obtain validation of this document by requesting a completed AIA Document D401 - Certification of Document's Authenticity from the Licensee.</t>
  </si>
  <si>
    <t>CONTINUATION SHEET</t>
  </si>
  <si>
    <t>AIA DOCUMENT G703</t>
  </si>
  <si>
    <t>/WGPD</t>
  </si>
  <si>
    <t>AIA Document G702, APPLICATION AND CERTIFICATION FOR PAYMENT, containing</t>
  </si>
  <si>
    <t>/wir.{d 25}~{r 6}/cf~~{L 6}~</t>
  </si>
  <si>
    <t>Contractor's signed certification is attached.</t>
  </si>
  <si>
    <t>APPLICATION DATE:</t>
  </si>
  <si>
    <t>/wgpe</t>
  </si>
  <si>
    <t>In tabulations below, amounts are stated to the nearest dollar.</t>
  </si>
  <si>
    <t>/ru.{d 26}</t>
  </si>
  <si>
    <t>Use Column I on Contracts where variable retainage for line items may apply.</t>
  </si>
  <si>
    <t>ARCHITECT'S PROJECT NO:</t>
  </si>
  <si>
    <t>{L 5}</t>
  </si>
  <si>
    <t>{L 9}</t>
  </si>
  <si>
    <t>A</t>
  </si>
  <si>
    <t>B</t>
  </si>
  <si>
    <t>C</t>
  </si>
  <si>
    <t>D</t>
  </si>
  <si>
    <t>E</t>
  </si>
  <si>
    <t>F</t>
  </si>
  <si>
    <t>G</t>
  </si>
  <si>
    <t>H</t>
  </si>
  <si>
    <t>I</t>
  </si>
  <si>
    <t>/ru.{d 26}~</t>
  </si>
  <si>
    <t>ITEM</t>
  </si>
  <si>
    <t>DESCRIPTION OF WORK</t>
  </si>
  <si>
    <t>SCHEDULED</t>
  </si>
  <si>
    <t>WORK COMPLETED</t>
  </si>
  <si>
    <t>MATERIALS</t>
  </si>
  <si>
    <t>TOTAL</t>
  </si>
  <si>
    <t>%</t>
  </si>
  <si>
    <t>BALANCE</t>
  </si>
  <si>
    <t>RETAINAGE</t>
  </si>
  <si>
    <t>VALUE</t>
  </si>
  <si>
    <t>FROM PREVIOUS</t>
  </si>
  <si>
    <t>THIS PERIOD</t>
  </si>
  <si>
    <t>PRESENTLY</t>
  </si>
  <si>
    <t>COMPLETED</t>
  </si>
  <si>
    <t>TO FINISH</t>
  </si>
  <si>
    <t>APPLICATION</t>
  </si>
  <si>
    <t>STORED</t>
  </si>
  <si>
    <t>AND STORED</t>
  </si>
  <si>
    <t>TO DATE</t>
  </si>
  <si>
    <t xml:space="preserve">3.  CONTRACT SUM TO DATE                               </t>
  </si>
  <si>
    <t>4.  TOTAL COMPLETED &amp; STORED TO DATE (Column G on G703)</t>
  </si>
  <si>
    <t>(Column K on G703)</t>
  </si>
  <si>
    <t xml:space="preserve">2.  NET CHANGE BY CHANGE ORDERS </t>
  </si>
  <si>
    <t xml:space="preserve">9.  BALANCE TO FINISH, INCLUDING RETAINAGE                    </t>
  </si>
  <si>
    <t>Total changes approved in previous months</t>
  </si>
  <si>
    <t>PAGE 1 OF</t>
  </si>
  <si>
    <t>PAGE 2</t>
  </si>
  <si>
    <t>PAGE 3</t>
  </si>
  <si>
    <t>APPLICATION #:</t>
  </si>
  <si>
    <t>PROJECT #:</t>
  </si>
  <si>
    <t>ARCHITECT'S PROJECT #:</t>
  </si>
  <si>
    <t>7.  LESS PREVIOUS CERTIFICATES FOR PAYMENT (Line 6 from prior Certificate)</t>
  </si>
  <si>
    <t>COMPLETE</t>
  </si>
  <si>
    <t>#</t>
  </si>
  <si>
    <t>CHANGE ORDER AMOUNT</t>
  </si>
  <si>
    <t>TO CONTRACTOR:</t>
  </si>
  <si>
    <t>FROM SUB-CONTRACTOR:</t>
  </si>
  <si>
    <t>TOTALS</t>
  </si>
  <si>
    <t>of Completed Work                       $</t>
  </si>
  <si>
    <t>AMOUNT CERTIFIED . . . . . . . . .. . . . . .$</t>
  </si>
  <si>
    <t>Makers Line</t>
  </si>
  <si>
    <t>Salt Lake City, UT 84101</t>
  </si>
  <si>
    <t>537 W 600 S, Ste 400</t>
  </si>
  <si>
    <t>21-10004</t>
  </si>
  <si>
    <t>Hunters Landing</t>
  </si>
  <si>
    <t xml:space="preserve">B&amp;M Plumbing &amp; Heating </t>
  </si>
  <si>
    <t>PO Box 1374</t>
  </si>
  <si>
    <t>Riverton, UT 84065</t>
  </si>
  <si>
    <t>22-0050 - Plumbing April</t>
  </si>
  <si>
    <t>22-0050 - Plumbing May</t>
  </si>
  <si>
    <t>22-0050 - Plumbing June</t>
  </si>
  <si>
    <t>22-0050 - Plumbing July</t>
  </si>
  <si>
    <t>22-0050 - Plumbing August</t>
  </si>
  <si>
    <t>22-0050 - Plumbing September</t>
  </si>
  <si>
    <t>22-0050 - Plumbing October</t>
  </si>
  <si>
    <t>22-0050 - Plumbing November</t>
  </si>
  <si>
    <t>22-0050 - Plumbing December</t>
  </si>
  <si>
    <t>22-0050 - Plumbing January</t>
  </si>
  <si>
    <t>22-0050 - Plumbing February</t>
  </si>
  <si>
    <t>22-0050 - Plumbing March</t>
  </si>
  <si>
    <t>Change Orders</t>
  </si>
  <si>
    <t>Change Order Gas Line</t>
  </si>
  <si>
    <t>Change order roof drains</t>
  </si>
  <si>
    <t>22-0050 Plumbing November extra</t>
  </si>
  <si>
    <t>Grand Total</t>
  </si>
  <si>
    <t>#8 change order</t>
  </si>
  <si>
    <t>April</t>
  </si>
  <si>
    <t>May</t>
  </si>
  <si>
    <t>June</t>
  </si>
  <si>
    <t>Invoice #14702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</si>
</sst>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mm/dd/yy;@"/>
    <numFmt numFmtId="166" formatCode="0_);\(0\)"/>
    <numFmt numFmtId="167" formatCode="&quot;$&quot;#,##0.00"/>
  </numFmts>
  <fonts count="19" x14ac:knownFonts="1">
    <font>
      <sz val="9"/>
      <name val="Times New Roman"/>
    </font>
    <font>
      <sz val="10"/>
      <name val="Tms Rmn"/>
    </font>
    <font>
      <b/>
      <sz val="14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i/>
      <sz val="12"/>
      <color indexed="8"/>
      <name val="Calibri"/>
      <family val="2"/>
      <scheme val="minor"/>
    </font>
    <font>
      <sz val="7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9"/>
      <color indexed="8"/>
      <name val="Calibri"/>
      <family val="2"/>
      <scheme val="minor"/>
    </font>
    <font>
      <sz val="6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5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164" fontId="0" fillId="0" borderId="0"/>
    <xf numFmtId="37" fontId="1" fillId="0" borderId="0"/>
    <xf numFmtId="43" fontId="18" fillId="0" borderId="0" applyFont="0" applyFill="0" applyBorder="0" applyAlignment="0" applyProtection="0"/>
  </cellStyleXfs>
  <cellXfs count="158">
    <xf numFmtId="164" fontId="0" fillId="0" borderId="0" xfId="0"/>
    <xf numFmtId="164" fontId="2" fillId="0" borderId="0" xfId="0" applyFont="1" applyAlignment="1">
      <alignment horizontal="left"/>
    </xf>
    <xf numFmtId="164" fontId="4" fillId="0" borderId="0" xfId="0" applyFont="1"/>
    <xf numFmtId="164" fontId="5" fillId="0" borderId="0" xfId="0" applyFont="1"/>
    <xf numFmtId="164" fontId="5" fillId="0" borderId="0" xfId="0" applyFont="1" applyAlignment="1">
      <alignment horizontal="left"/>
    </xf>
    <xf numFmtId="164" fontId="8" fillId="0" borderId="0" xfId="0" applyFont="1" applyAlignment="1" applyProtection="1">
      <alignment horizontal="left"/>
      <protection locked="0"/>
    </xf>
    <xf numFmtId="164" fontId="7" fillId="0" borderId="0" xfId="0" applyFont="1" applyProtection="1">
      <protection locked="0"/>
    </xf>
    <xf numFmtId="164" fontId="7" fillId="0" borderId="0" xfId="0" applyFont="1" applyAlignment="1" applyProtection="1">
      <alignment horizontal="left"/>
      <protection locked="0"/>
    </xf>
    <xf numFmtId="164" fontId="7" fillId="0" borderId="0" xfId="0" quotePrefix="1" applyFont="1" applyProtection="1">
      <protection locked="0"/>
    </xf>
    <xf numFmtId="164" fontId="8" fillId="0" borderId="0" xfId="0" applyFont="1" applyProtection="1">
      <protection locked="0"/>
    </xf>
    <xf numFmtId="164" fontId="7" fillId="0" borderId="0" xfId="0" applyFont="1"/>
    <xf numFmtId="164" fontId="3" fillId="0" borderId="0" xfId="0" applyFont="1" applyProtection="1">
      <protection locked="0"/>
    </xf>
    <xf numFmtId="164" fontId="3" fillId="0" borderId="1" xfId="0" applyFont="1" applyBorder="1"/>
    <xf numFmtId="164" fontId="3" fillId="0" borderId="0" xfId="0" applyFont="1" applyAlignment="1">
      <alignment horizontal="left"/>
    </xf>
    <xf numFmtId="164" fontId="3" fillId="0" borderId="0" xfId="0" quotePrefix="1" applyFont="1" applyAlignment="1">
      <alignment horizontal="left"/>
    </xf>
    <xf numFmtId="164" fontId="3" fillId="0" borderId="0" xfId="0" applyFont="1" applyAlignment="1">
      <alignment horizontal="right"/>
    </xf>
    <xf numFmtId="164" fontId="3" fillId="0" borderId="3" xfId="0" applyFont="1" applyBorder="1" applyProtection="1">
      <protection locked="0"/>
    </xf>
    <xf numFmtId="164" fontId="13" fillId="0" borderId="1" xfId="0" applyFont="1" applyBorder="1" applyAlignment="1">
      <alignment horizontal="left"/>
    </xf>
    <xf numFmtId="37" fontId="14" fillId="0" borderId="4" xfId="1" applyFont="1" applyBorder="1" applyAlignment="1">
      <alignment horizontal="left"/>
    </xf>
    <xf numFmtId="37" fontId="7" fillId="0" borderId="4" xfId="1" applyFont="1" applyBorder="1"/>
    <xf numFmtId="37" fontId="4" fillId="0" borderId="4" xfId="1" applyFont="1" applyBorder="1" applyAlignment="1">
      <alignment horizontal="left"/>
    </xf>
    <xf numFmtId="37" fontId="13" fillId="0" borderId="4" xfId="1" applyFont="1" applyBorder="1" applyAlignment="1" applyProtection="1">
      <alignment horizontal="left"/>
      <protection locked="0"/>
    </xf>
    <xf numFmtId="37" fontId="7" fillId="0" borderId="0" xfId="1" applyFont="1" applyAlignment="1">
      <alignment horizontal="left"/>
    </xf>
    <xf numFmtId="37" fontId="3" fillId="0" borderId="0" xfId="1" applyFont="1" applyAlignment="1">
      <alignment horizontal="left"/>
    </xf>
    <xf numFmtId="37" fontId="7" fillId="0" borderId="0" xfId="1" applyFont="1"/>
    <xf numFmtId="37" fontId="7" fillId="0" borderId="0" xfId="1" applyFont="1" applyProtection="1">
      <protection locked="0"/>
    </xf>
    <xf numFmtId="37" fontId="6" fillId="0" borderId="5" xfId="1" applyFont="1" applyBorder="1" applyAlignment="1">
      <alignment horizontal="center"/>
    </xf>
    <xf numFmtId="37" fontId="6" fillId="0" borderId="5" xfId="1" applyFont="1" applyBorder="1" applyAlignment="1">
      <alignment horizontal="centerContinuous"/>
    </xf>
    <xf numFmtId="37" fontId="6" fillId="0" borderId="6" xfId="1" applyFont="1" applyBorder="1" applyAlignment="1">
      <alignment horizontal="centerContinuous"/>
    </xf>
    <xf numFmtId="37" fontId="6" fillId="0" borderId="2" xfId="1" applyFont="1" applyBorder="1" applyAlignment="1">
      <alignment horizontal="center"/>
    </xf>
    <xf numFmtId="37" fontId="6" fillId="0" borderId="7" xfId="1" applyFont="1" applyBorder="1" applyAlignment="1">
      <alignment horizontal="center"/>
    </xf>
    <xf numFmtId="37" fontId="6" fillId="0" borderId="8" xfId="1" applyFont="1" applyBorder="1" applyAlignment="1">
      <alignment horizontal="centerContinuous"/>
    </xf>
    <xf numFmtId="37" fontId="6" fillId="0" borderId="3" xfId="1" applyFont="1" applyBorder="1" applyAlignment="1">
      <alignment horizontal="centerContinuous"/>
    </xf>
    <xf numFmtId="37" fontId="6" fillId="0" borderId="7" xfId="1" applyFont="1" applyBorder="1" applyAlignment="1">
      <alignment horizontal="centerContinuous"/>
    </xf>
    <xf numFmtId="37" fontId="6" fillId="0" borderId="9" xfId="1" applyFont="1" applyBorder="1" applyAlignment="1">
      <alignment horizontal="center"/>
    </xf>
    <xf numFmtId="37" fontId="6" fillId="0" borderId="7" xfId="1" quotePrefix="1" applyFont="1" applyBorder="1" applyAlignment="1">
      <alignment horizontal="center"/>
    </xf>
    <xf numFmtId="37" fontId="6" fillId="0" borderId="7" xfId="1" applyFont="1" applyBorder="1"/>
    <xf numFmtId="37" fontId="6" fillId="0" borderId="9" xfId="1" quotePrefix="1" applyFont="1" applyBorder="1" applyAlignment="1">
      <alignment horizontal="center"/>
    </xf>
    <xf numFmtId="37" fontId="13" fillId="0" borderId="0" xfId="1" applyFont="1"/>
    <xf numFmtId="10" fontId="7" fillId="0" borderId="0" xfId="1" applyNumberFormat="1" applyFont="1"/>
    <xf numFmtId="37" fontId="7" fillId="0" borderId="4" xfId="1" applyFont="1" applyBorder="1" applyAlignment="1">
      <alignment wrapText="1"/>
    </xf>
    <xf numFmtId="37" fontId="7" fillId="0" borderId="0" xfId="1" applyFont="1" applyAlignment="1">
      <alignment wrapText="1"/>
    </xf>
    <xf numFmtId="37" fontId="6" fillId="0" borderId="5" xfId="1" applyFont="1" applyBorder="1" applyAlignment="1">
      <alignment horizontal="center" wrapText="1"/>
    </xf>
    <xf numFmtId="37" fontId="13" fillId="0" borderId="0" xfId="1" applyFont="1" applyAlignment="1">
      <alignment wrapText="1"/>
    </xf>
    <xf numFmtId="39" fontId="3" fillId="2" borderId="3" xfId="0" applyNumberFormat="1" applyFont="1" applyFill="1" applyBorder="1"/>
    <xf numFmtId="164" fontId="7" fillId="0" borderId="0" xfId="0" applyFont="1" applyAlignment="1" applyProtection="1">
      <alignment horizontal="right"/>
      <protection locked="0"/>
    </xf>
    <xf numFmtId="164" fontId="8" fillId="0" borderId="0" xfId="0" applyFont="1" applyAlignment="1" applyProtection="1">
      <alignment horizontal="right"/>
      <protection locked="0"/>
    </xf>
    <xf numFmtId="164" fontId="7" fillId="0" borderId="0" xfId="0" applyFont="1" applyAlignment="1" applyProtection="1">
      <alignment horizontal="center"/>
      <protection locked="0"/>
    </xf>
    <xf numFmtId="164" fontId="10" fillId="0" borderId="0" xfId="0" applyFont="1" applyProtection="1">
      <protection locked="0"/>
    </xf>
    <xf numFmtId="164" fontId="11" fillId="0" borderId="4" xfId="0" applyFont="1" applyBorder="1" applyAlignment="1" applyProtection="1">
      <alignment horizontal="left"/>
      <protection locked="0"/>
    </xf>
    <xf numFmtId="164" fontId="3" fillId="0" borderId="0" xfId="0" applyFont="1" applyAlignment="1" applyProtection="1">
      <alignment horizontal="left"/>
      <protection locked="0"/>
    </xf>
    <xf numFmtId="164" fontId="3" fillId="0" borderId="0" xfId="0" applyFont="1" applyAlignment="1" applyProtection="1">
      <alignment horizontal="right"/>
      <protection locked="0"/>
    </xf>
    <xf numFmtId="164" fontId="3" fillId="0" borderId="4" xfId="0" applyFont="1" applyBorder="1" applyProtection="1">
      <protection locked="0"/>
    </xf>
    <xf numFmtId="164" fontId="12" fillId="0" borderId="0" xfId="0" quotePrefix="1" applyFont="1" applyAlignment="1" applyProtection="1">
      <alignment horizontal="left"/>
      <protection locked="0"/>
    </xf>
    <xf numFmtId="164" fontId="12" fillId="0" borderId="0" xfId="0" applyFont="1" applyAlignment="1" applyProtection="1">
      <alignment horizontal="left"/>
      <protection locked="0"/>
    </xf>
    <xf numFmtId="164" fontId="3" fillId="0" borderId="0" xfId="0" applyFont="1"/>
    <xf numFmtId="164" fontId="5" fillId="0" borderId="0" xfId="0" applyFont="1" applyAlignment="1">
      <alignment horizontal="right"/>
    </xf>
    <xf numFmtId="164" fontId="6" fillId="0" borderId="0" xfId="0" applyFont="1"/>
    <xf numFmtId="164" fontId="10" fillId="0" borderId="24" xfId="0" applyFont="1" applyBorder="1"/>
    <xf numFmtId="164" fontId="10" fillId="0" borderId="26" xfId="0" applyFont="1" applyBorder="1"/>
    <xf numFmtId="164" fontId="10" fillId="0" borderId="23" xfId="0" applyFont="1" applyBorder="1"/>
    <xf numFmtId="164" fontId="10" fillId="0" borderId="27" xfId="0" applyFont="1" applyBorder="1"/>
    <xf numFmtId="164" fontId="10" fillId="0" borderId="0" xfId="0" applyFont="1"/>
    <xf numFmtId="164" fontId="10" fillId="0" borderId="15" xfId="0" applyFont="1" applyBorder="1"/>
    <xf numFmtId="164" fontId="10" fillId="0" borderId="14" xfId="0" applyFont="1" applyBorder="1"/>
    <xf numFmtId="164" fontId="10" fillId="0" borderId="3" xfId="0" applyFont="1" applyBorder="1"/>
    <xf numFmtId="164" fontId="10" fillId="0" borderId="10" xfId="0" applyFont="1" applyBorder="1"/>
    <xf numFmtId="164" fontId="10" fillId="0" borderId="11" xfId="0" applyFont="1" applyBorder="1"/>
    <xf numFmtId="164" fontId="10" fillId="0" borderId="16" xfId="0" applyFont="1" applyBorder="1"/>
    <xf numFmtId="164" fontId="13" fillId="0" borderId="1" xfId="0" applyFont="1" applyBorder="1"/>
    <xf numFmtId="164" fontId="11" fillId="0" borderId="0" xfId="0" applyFont="1"/>
    <xf numFmtId="164" fontId="13" fillId="0" borderId="0" xfId="0" applyFont="1"/>
    <xf numFmtId="37" fontId="7" fillId="0" borderId="4" xfId="1" applyFont="1" applyBorder="1" applyProtection="1">
      <protection locked="0"/>
    </xf>
    <xf numFmtId="37" fontId="6" fillId="0" borderId="4" xfId="1" applyFont="1" applyBorder="1" applyAlignment="1" applyProtection="1">
      <alignment horizontal="left"/>
      <protection locked="0"/>
    </xf>
    <xf numFmtId="37" fontId="13" fillId="0" borderId="4" xfId="1" applyFont="1" applyBorder="1" applyProtection="1">
      <protection locked="0"/>
    </xf>
    <xf numFmtId="37" fontId="7" fillId="0" borderId="0" xfId="1" applyFont="1" applyAlignment="1" applyProtection="1">
      <alignment horizontal="right"/>
      <protection locked="0"/>
    </xf>
    <xf numFmtId="0" fontId="7" fillId="0" borderId="0" xfId="1" applyNumberFormat="1" applyFont="1"/>
    <xf numFmtId="8" fontId="7" fillId="0" borderId="0" xfId="1" applyNumberFormat="1" applyFont="1"/>
    <xf numFmtId="37" fontId="11" fillId="0" borderId="0" xfId="1" applyFont="1"/>
    <xf numFmtId="37" fontId="16" fillId="0" borderId="0" xfId="1" applyFont="1"/>
    <xf numFmtId="44" fontId="7" fillId="0" borderId="0" xfId="1" applyNumberFormat="1" applyFont="1"/>
    <xf numFmtId="44" fontId="7" fillId="0" borderId="0" xfId="1" applyNumberFormat="1" applyFont="1" applyAlignment="1">
      <alignment horizontal="center" vertical="center"/>
    </xf>
    <xf numFmtId="44" fontId="0" fillId="0" borderId="0" xfId="0" applyNumberFormat="1"/>
    <xf numFmtId="164" fontId="8" fillId="4" borderId="0" xfId="0" applyFont="1" applyFill="1" applyAlignment="1" applyProtection="1">
      <alignment vertical="center"/>
      <protection locked="0"/>
    </xf>
    <xf numFmtId="164" fontId="8" fillId="4" borderId="0" xfId="0" applyFont="1" applyFill="1" applyAlignment="1" applyProtection="1">
      <alignment horizontal="left"/>
      <protection locked="0"/>
    </xf>
    <xf numFmtId="164" fontId="7" fillId="4" borderId="2" xfId="0" applyFont="1" applyFill="1" applyBorder="1" applyAlignment="1" applyProtection="1">
      <alignment horizontal="center" vertical="center"/>
      <protection locked="0"/>
    </xf>
    <xf numFmtId="165" fontId="8" fillId="4" borderId="0" xfId="0" applyNumberFormat="1" applyFont="1" applyFill="1" applyAlignment="1" applyProtection="1">
      <alignment vertical="center"/>
      <protection locked="0"/>
    </xf>
    <xf numFmtId="167" fontId="10" fillId="4" borderId="19" xfId="0" applyNumberFormat="1" applyFont="1" applyFill="1" applyBorder="1" applyAlignment="1" applyProtection="1">
      <alignment horizontal="right" vertical="center"/>
      <protection locked="0"/>
    </xf>
    <xf numFmtId="167" fontId="10" fillId="4" borderId="18" xfId="0" applyNumberFormat="1" applyFont="1" applyFill="1" applyBorder="1" applyAlignment="1" applyProtection="1">
      <alignment horizontal="right" vertical="center"/>
      <protection locked="0"/>
    </xf>
    <xf numFmtId="166" fontId="7" fillId="4" borderId="0" xfId="1" applyNumberFormat="1" applyFont="1" applyFill="1" applyProtection="1">
      <protection locked="0"/>
    </xf>
    <xf numFmtId="165" fontId="7" fillId="4" borderId="0" xfId="1" applyNumberFormat="1" applyFont="1" applyFill="1" applyProtection="1">
      <protection locked="0"/>
    </xf>
    <xf numFmtId="37" fontId="7" fillId="4" borderId="0" xfId="1" applyFont="1" applyFill="1" applyProtection="1">
      <protection locked="0"/>
    </xf>
    <xf numFmtId="164" fontId="8" fillId="4" borderId="0" xfId="0" applyFont="1" applyFill="1" applyAlignment="1" applyProtection="1">
      <alignment horizontal="left" vertical="center"/>
      <protection locked="0"/>
    </xf>
    <xf numFmtId="39" fontId="10" fillId="2" borderId="3" xfId="0" applyNumberFormat="1" applyFont="1" applyFill="1" applyBorder="1" applyProtection="1">
      <protection locked="0"/>
    </xf>
    <xf numFmtId="166" fontId="3" fillId="0" borderId="0" xfId="1" applyNumberFormat="1" applyFont="1"/>
    <xf numFmtId="164" fontId="17" fillId="0" borderId="0" xfId="0" applyFont="1"/>
    <xf numFmtId="164" fontId="17" fillId="0" borderId="0" xfId="0" applyFont="1" applyAlignment="1">
      <alignment horizontal="left"/>
    </xf>
    <xf numFmtId="9" fontId="3" fillId="0" borderId="3" xfId="0" applyNumberFormat="1" applyFont="1" applyBorder="1" applyAlignment="1">
      <alignment horizontal="center"/>
    </xf>
    <xf numFmtId="164" fontId="7" fillId="0" borderId="4" xfId="0" applyFont="1" applyBorder="1" applyAlignment="1" applyProtection="1">
      <alignment horizontal="left"/>
      <protection locked="0"/>
    </xf>
    <xf numFmtId="167" fontId="3" fillId="4" borderId="2" xfId="1" applyNumberFormat="1" applyFont="1" applyFill="1" applyBorder="1" applyAlignment="1" applyProtection="1">
      <alignment horizontal="right"/>
      <protection locked="0"/>
    </xf>
    <xf numFmtId="167" fontId="3" fillId="2" borderId="2" xfId="1" applyNumberFormat="1" applyFont="1" applyFill="1" applyBorder="1"/>
    <xf numFmtId="1" fontId="8" fillId="4" borderId="0" xfId="0" quotePrefix="1" applyNumberFormat="1" applyFont="1" applyFill="1" applyAlignment="1" applyProtection="1">
      <alignment vertical="center"/>
      <protection locked="0"/>
    </xf>
    <xf numFmtId="14" fontId="9" fillId="4" borderId="0" xfId="0" applyNumberFormat="1" applyFont="1" applyFill="1" applyAlignment="1" applyProtection="1">
      <alignment vertical="center"/>
      <protection locked="0"/>
    </xf>
    <xf numFmtId="164" fontId="0" fillId="0" borderId="2" xfId="0" applyBorder="1" applyProtection="1">
      <protection locked="0"/>
    </xf>
    <xf numFmtId="44" fontId="0" fillId="0" borderId="2" xfId="0" applyNumberFormat="1" applyBorder="1"/>
    <xf numFmtId="43" fontId="3" fillId="2" borderId="3" xfId="2" applyFont="1" applyFill="1" applyBorder="1" applyProtection="1"/>
    <xf numFmtId="43" fontId="3" fillId="5" borderId="3" xfId="2" applyFont="1" applyFill="1" applyBorder="1" applyProtection="1"/>
    <xf numFmtId="166" fontId="3" fillId="0" borderId="30" xfId="1" applyNumberFormat="1" applyFont="1" applyBorder="1"/>
    <xf numFmtId="166" fontId="3" fillId="0" borderId="7" xfId="1" applyNumberFormat="1" applyFont="1" applyBorder="1"/>
    <xf numFmtId="166" fontId="3" fillId="0" borderId="8" xfId="1" applyNumberFormat="1" applyFont="1" applyBorder="1"/>
    <xf numFmtId="9" fontId="6" fillId="0" borderId="9" xfId="1" quotePrefix="1" applyNumberFormat="1" applyFont="1" applyBorder="1" applyAlignment="1">
      <alignment horizontal="center" vertical="center"/>
    </xf>
    <xf numFmtId="10" fontId="3" fillId="2" borderId="2" xfId="1" applyNumberFormat="1" applyFont="1" applyFill="1" applyBorder="1"/>
    <xf numFmtId="164" fontId="15" fillId="4" borderId="2" xfId="0" applyFont="1" applyFill="1" applyBorder="1" applyAlignment="1" applyProtection="1">
      <alignment horizontal="left" vertical="center" wrapText="1"/>
      <protection locked="0"/>
    </xf>
    <xf numFmtId="37" fontId="11" fillId="3" borderId="2" xfId="1" applyFont="1" applyFill="1" applyBorder="1" applyAlignment="1">
      <alignment wrapText="1"/>
    </xf>
    <xf numFmtId="167" fontId="11" fillId="3" borderId="2" xfId="1" applyNumberFormat="1" applyFont="1" applyFill="1" applyBorder="1" applyAlignment="1">
      <alignment horizontal="right"/>
    </xf>
    <xf numFmtId="167" fontId="11" fillId="3" borderId="2" xfId="1" applyNumberFormat="1" applyFont="1" applyFill="1" applyBorder="1"/>
    <xf numFmtId="10" fontId="11" fillId="3" borderId="2" xfId="1" applyNumberFormat="1" applyFont="1" applyFill="1" applyBorder="1"/>
    <xf numFmtId="37" fontId="6" fillId="0" borderId="12" xfId="1" quotePrefix="1" applyFont="1" applyBorder="1" applyAlignment="1">
      <alignment horizontal="center"/>
    </xf>
    <xf numFmtId="37" fontId="6" fillId="0" borderId="9" xfId="1" applyFont="1" applyBorder="1"/>
    <xf numFmtId="166" fontId="3" fillId="0" borderId="12" xfId="1" applyNumberFormat="1" applyFont="1" applyBorder="1"/>
    <xf numFmtId="166" fontId="3" fillId="0" borderId="9" xfId="1" applyNumberFormat="1" applyFont="1" applyBorder="1"/>
    <xf numFmtId="166" fontId="3" fillId="0" borderId="37" xfId="1" applyNumberFormat="1" applyFont="1" applyBorder="1"/>
    <xf numFmtId="164" fontId="18" fillId="0" borderId="2" xfId="0" applyFont="1" applyBorder="1" applyProtection="1">
      <protection locked="0"/>
    </xf>
    <xf numFmtId="37" fontId="7" fillId="0" borderId="38" xfId="1" applyFont="1" applyBorder="1"/>
    <xf numFmtId="37" fontId="7" fillId="0" borderId="10" xfId="1" applyFont="1" applyBorder="1"/>
    <xf numFmtId="37" fontId="7" fillId="0" borderId="11" xfId="1" applyFont="1" applyBorder="1" applyAlignment="1">
      <alignment wrapText="1"/>
    </xf>
    <xf numFmtId="167" fontId="7" fillId="0" borderId="11" xfId="1" applyNumberFormat="1" applyFont="1" applyBorder="1"/>
    <xf numFmtId="10" fontId="7" fillId="0" borderId="11" xfId="1" applyNumberFormat="1" applyFont="1" applyBorder="1"/>
    <xf numFmtId="164" fontId="10" fillId="0" borderId="23" xfId="0" applyFont="1" applyBorder="1"/>
    <xf numFmtId="164" fontId="10" fillId="0" borderId="22" xfId="0" applyFont="1" applyBorder="1"/>
    <xf numFmtId="164" fontId="10" fillId="0" borderId="32" xfId="0" applyFont="1" applyBorder="1"/>
    <xf numFmtId="164" fontId="10" fillId="0" borderId="33" xfId="0" applyFont="1" applyBorder="1"/>
    <xf numFmtId="164" fontId="10" fillId="0" borderId="29" xfId="0" applyFont="1" applyBorder="1"/>
    <xf numFmtId="164" fontId="10" fillId="0" borderId="31" xfId="0" applyFont="1" applyBorder="1" applyAlignment="1">
      <alignment wrapText="1"/>
    </xf>
    <xf numFmtId="164" fontId="10" fillId="0" borderId="1" xfId="0" applyFont="1" applyBorder="1" applyAlignment="1">
      <alignment wrapText="1"/>
    </xf>
    <xf numFmtId="164" fontId="10" fillId="0" borderId="34" xfId="0" applyFont="1" applyBorder="1" applyAlignment="1">
      <alignment wrapText="1"/>
    </xf>
    <xf numFmtId="164" fontId="10" fillId="0" borderId="14" xfId="0" applyFont="1" applyBorder="1" applyAlignment="1">
      <alignment wrapText="1"/>
    </xf>
    <xf numFmtId="164" fontId="10" fillId="0" borderId="3" xfId="0" applyFont="1" applyBorder="1" applyAlignment="1">
      <alignment wrapText="1"/>
    </xf>
    <xf numFmtId="164" fontId="10" fillId="0" borderId="28" xfId="0" applyFont="1" applyBorder="1" applyAlignment="1">
      <alignment wrapText="1"/>
    </xf>
    <xf numFmtId="164" fontId="10" fillId="0" borderId="21" xfId="0" applyFont="1" applyBorder="1"/>
    <xf numFmtId="164" fontId="10" fillId="0" borderId="35" xfId="0" applyFont="1" applyBorder="1"/>
    <xf numFmtId="164" fontId="10" fillId="0" borderId="36" xfId="0" applyFont="1" applyBorder="1"/>
    <xf numFmtId="8" fontId="10" fillId="2" borderId="21" xfId="0" applyNumberFormat="1" applyFont="1" applyFill="1" applyBorder="1" applyAlignment="1">
      <alignment horizontal="center"/>
    </xf>
    <xf numFmtId="8" fontId="10" fillId="2" borderId="17" xfId="0" applyNumberFormat="1" applyFont="1" applyFill="1" applyBorder="1" applyAlignment="1">
      <alignment horizontal="center"/>
    </xf>
    <xf numFmtId="167" fontId="10" fillId="4" borderId="24" xfId="0" applyNumberFormat="1" applyFont="1" applyFill="1" applyBorder="1" applyAlignment="1" applyProtection="1">
      <alignment horizontal="right" vertical="center"/>
      <protection locked="0"/>
    </xf>
    <xf numFmtId="167" fontId="10" fillId="4" borderId="13" xfId="0" applyNumberFormat="1" applyFont="1" applyFill="1" applyBorder="1" applyAlignment="1" applyProtection="1">
      <alignment horizontal="right" vertical="center"/>
      <protection locked="0"/>
    </xf>
    <xf numFmtId="167" fontId="10" fillId="4" borderId="23" xfId="0" applyNumberFormat="1" applyFont="1" applyFill="1" applyBorder="1" applyAlignment="1" applyProtection="1">
      <alignment horizontal="right" vertical="center"/>
      <protection locked="0"/>
    </xf>
    <xf numFmtId="167" fontId="10" fillId="4" borderId="22" xfId="0" applyNumberFormat="1" applyFont="1" applyFill="1" applyBorder="1" applyAlignment="1" applyProtection="1">
      <alignment horizontal="right" vertical="center"/>
      <protection locked="0"/>
    </xf>
    <xf numFmtId="8" fontId="10" fillId="2" borderId="20" xfId="0" applyNumberFormat="1" applyFont="1" applyFill="1" applyBorder="1" applyAlignment="1">
      <alignment horizontal="right" vertical="center"/>
    </xf>
    <xf numFmtId="8" fontId="10" fillId="2" borderId="13" xfId="0" applyNumberFormat="1" applyFont="1" applyFill="1" applyBorder="1" applyAlignment="1">
      <alignment horizontal="right" vertical="center"/>
    </xf>
    <xf numFmtId="8" fontId="10" fillId="2" borderId="25" xfId="0" applyNumberFormat="1" applyFont="1" applyFill="1" applyBorder="1" applyAlignment="1">
      <alignment horizontal="right" vertical="center"/>
    </xf>
    <xf numFmtId="8" fontId="10" fillId="2" borderId="22" xfId="0" applyNumberFormat="1" applyFont="1" applyFill="1" applyBorder="1" applyAlignment="1">
      <alignment horizontal="right" vertical="center"/>
    </xf>
    <xf numFmtId="164" fontId="8" fillId="4" borderId="0" xfId="0" applyFont="1" applyFill="1" applyAlignment="1" applyProtection="1">
      <alignment horizontal="left" vertical="center"/>
      <protection locked="0"/>
    </xf>
    <xf numFmtId="37" fontId="6" fillId="0" borderId="12" xfId="1" applyFont="1" applyBorder="1" applyAlignment="1">
      <alignment horizontal="center" vertical="center" wrapText="1"/>
    </xf>
    <xf numFmtId="37" fontId="6" fillId="0" borderId="9" xfId="1" applyFont="1" applyBorder="1" applyAlignment="1">
      <alignment horizontal="center" vertical="center" wrapText="1"/>
    </xf>
    <xf numFmtId="37" fontId="7" fillId="6" borderId="39" xfId="1" applyFont="1" applyFill="1" applyBorder="1" applyAlignment="1">
      <alignment horizontal="center" wrapText="1"/>
    </xf>
    <xf numFmtId="37" fontId="7" fillId="6" borderId="40" xfId="1" applyFont="1" applyFill="1" applyBorder="1" applyAlignment="1">
      <alignment horizontal="center" wrapText="1"/>
    </xf>
    <xf numFmtId="37" fontId="7" fillId="6" borderId="41" xfId="1" applyFont="1" applyFill="1" applyBorder="1" applyAlignment="1">
      <alignment horizontal="center" wrapText="1"/>
    </xf>
  </cellXfs>
  <cellStyles count="3">
    <cellStyle name="Comma" xfId="2" builtinId="3"/>
    <cellStyle name="Normal" xfId="0" builtinId="0"/>
    <cellStyle name="Normal_G70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>
    <pageSetUpPr fitToPage="1"/>
  </sheetPr>
  <dimension ref="A1:O55"/>
  <sheetViews>
    <sheetView showGridLines="0" tabSelected="1" zoomScaleNormal="100" workbookViewId="0">
      <selection activeCell="T24" sqref="T24"/>
    </sheetView>
  </sheetViews>
  <sheetFormatPr defaultColWidth="9.83203125" defaultRowHeight="12" x14ac:dyDescent="0.2"/>
  <cols>
    <col min="1" max="1" width="13.83203125" style="55" customWidth="1"/>
    <col min="2" max="2" width="7.5" style="55" customWidth="1"/>
    <col min="3" max="3" width="18.33203125" style="55" customWidth="1"/>
    <col min="4" max="4" width="32.5" style="55" customWidth="1"/>
    <col min="5" max="5" width="22.33203125" style="55" customWidth="1"/>
    <col min="6" max="6" width="19" style="55" customWidth="1"/>
    <col min="7" max="7" width="5.1640625" style="55" customWidth="1"/>
    <col min="8" max="8" width="3.6640625" style="55" customWidth="1"/>
    <col min="9" max="9" width="19" style="55" customWidth="1"/>
    <col min="10" max="10" width="13.1640625" style="55" customWidth="1"/>
    <col min="11" max="11" width="14" style="55" customWidth="1"/>
    <col min="12" max="12" width="5.6640625" style="55" customWidth="1"/>
    <col min="13" max="13" width="2.83203125" style="55" customWidth="1"/>
    <col min="14" max="14" width="3.83203125" style="55" customWidth="1"/>
    <col min="15" max="15" width="22.5" style="55" customWidth="1"/>
    <col min="16" max="16384" width="9.83203125" style="55"/>
  </cols>
  <sheetData>
    <row r="1" spans="1:15" ht="19.5" thickBot="1" x14ac:dyDescent="0.35">
      <c r="A1" s="1" t="s">
        <v>0</v>
      </c>
      <c r="H1" s="2" t="s">
        <v>1</v>
      </c>
      <c r="J1" s="3"/>
      <c r="K1" s="56" t="s">
        <v>109</v>
      </c>
      <c r="L1" s="55">
        <v>3</v>
      </c>
      <c r="M1" s="3"/>
      <c r="N1" s="3"/>
      <c r="O1" s="4"/>
    </row>
    <row r="2" spans="1:15" ht="6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ht="12" customHeight="1" x14ac:dyDescent="0.2">
      <c r="A3" s="7" t="s">
        <v>119</v>
      </c>
      <c r="B3" s="9"/>
      <c r="C3" s="9"/>
      <c r="D3" s="9"/>
      <c r="E3" s="45" t="s">
        <v>2</v>
      </c>
      <c r="F3" s="84" t="s">
        <v>128</v>
      </c>
      <c r="G3" s="6"/>
      <c r="H3" s="6"/>
      <c r="I3" s="7" t="s">
        <v>112</v>
      </c>
      <c r="J3" s="101">
        <v>13</v>
      </c>
      <c r="K3" s="6"/>
      <c r="L3" s="7" t="s">
        <v>4</v>
      </c>
      <c r="M3" s="6"/>
      <c r="N3" s="6"/>
      <c r="O3" s="6"/>
    </row>
    <row r="4" spans="1:15" ht="3" customHeight="1" x14ac:dyDescent="0.2">
      <c r="A4" s="7"/>
      <c r="B4" s="6"/>
      <c r="C4" s="6"/>
      <c r="D4" s="9"/>
      <c r="E4" s="45"/>
      <c r="F4" s="7"/>
      <c r="G4" s="6"/>
      <c r="H4" s="6"/>
      <c r="I4" s="7"/>
      <c r="J4" s="8"/>
      <c r="K4" s="6"/>
      <c r="L4" s="7"/>
      <c r="M4" s="6"/>
      <c r="N4" s="6"/>
      <c r="O4" s="6"/>
    </row>
    <row r="5" spans="1:15" ht="12.75" x14ac:dyDescent="0.2">
      <c r="A5" s="152" t="s">
        <v>124</v>
      </c>
      <c r="B5" s="152"/>
      <c r="C5" s="152"/>
      <c r="D5" s="9"/>
      <c r="E5" s="46"/>
      <c r="F5" s="5"/>
      <c r="G5" s="6"/>
      <c r="H5" s="6"/>
      <c r="I5" s="7" t="s">
        <v>153</v>
      </c>
      <c r="J5" s="8"/>
      <c r="K5" s="6"/>
      <c r="L5" s="85"/>
      <c r="M5" s="7" t="s">
        <v>6</v>
      </c>
      <c r="N5" s="6"/>
      <c r="O5" s="6"/>
    </row>
    <row r="6" spans="1:15" ht="3" customHeight="1" x14ac:dyDescent="0.2">
      <c r="A6" s="92"/>
      <c r="B6" s="92"/>
      <c r="C6" s="92"/>
      <c r="D6" s="9"/>
      <c r="E6" s="45"/>
      <c r="F6" s="6"/>
      <c r="G6" s="6"/>
      <c r="H6" s="6"/>
      <c r="I6" s="6"/>
      <c r="J6" s="6"/>
      <c r="K6" s="6"/>
      <c r="L6" s="47"/>
      <c r="M6" s="6"/>
      <c r="N6" s="6"/>
      <c r="O6" s="6"/>
    </row>
    <row r="7" spans="1:15" ht="12.75" x14ac:dyDescent="0.2">
      <c r="A7" s="152" t="s">
        <v>126</v>
      </c>
      <c r="B7" s="152"/>
      <c r="C7" s="152"/>
      <c r="D7" s="9"/>
      <c r="E7" s="5"/>
      <c r="F7" s="9"/>
      <c r="G7" s="6"/>
      <c r="H7" s="6"/>
      <c r="I7" s="6"/>
      <c r="J7" s="6"/>
      <c r="K7" s="6"/>
      <c r="L7" s="85"/>
      <c r="M7" s="7" t="s">
        <v>7</v>
      </c>
      <c r="N7" s="6"/>
      <c r="O7" s="6"/>
    </row>
    <row r="8" spans="1:15" ht="3" customHeight="1" x14ac:dyDescent="0.2">
      <c r="A8" s="92"/>
      <c r="B8" s="92"/>
      <c r="C8" s="92"/>
      <c r="D8" s="9"/>
      <c r="E8" s="45"/>
      <c r="F8" s="6"/>
      <c r="G8" s="6"/>
      <c r="H8" s="6"/>
      <c r="I8" s="6"/>
      <c r="J8" s="6"/>
      <c r="K8" s="6"/>
      <c r="L8" s="47"/>
      <c r="M8" s="6"/>
      <c r="N8" s="6"/>
      <c r="O8" s="6"/>
    </row>
    <row r="9" spans="1:15" ht="12.75" x14ac:dyDescent="0.2">
      <c r="A9" s="152" t="s">
        <v>125</v>
      </c>
      <c r="B9" s="152"/>
      <c r="C9" s="152"/>
      <c r="D9" s="9"/>
      <c r="E9" s="5"/>
      <c r="F9" s="9"/>
      <c r="G9" s="6"/>
      <c r="H9" s="6"/>
      <c r="I9" s="7" t="s">
        <v>8</v>
      </c>
      <c r="J9" s="102">
        <v>45016</v>
      </c>
      <c r="K9" s="6"/>
      <c r="L9" s="85" t="s">
        <v>5</v>
      </c>
      <c r="M9" s="7" t="s">
        <v>9</v>
      </c>
      <c r="N9" s="6"/>
      <c r="O9" s="6"/>
    </row>
    <row r="10" spans="1:15" ht="3" customHeight="1" x14ac:dyDescent="0.2">
      <c r="A10" s="6"/>
      <c r="B10" s="6"/>
      <c r="C10" s="6"/>
      <c r="D10" s="6"/>
      <c r="E10" s="45"/>
      <c r="F10" s="6"/>
      <c r="G10" s="6"/>
      <c r="H10" s="6"/>
      <c r="I10" s="6"/>
      <c r="J10" s="6"/>
      <c r="K10" s="6"/>
      <c r="L10" s="47"/>
      <c r="M10" s="6"/>
      <c r="N10" s="6"/>
      <c r="O10" s="6"/>
    </row>
    <row r="11" spans="1:15" ht="12.75" x14ac:dyDescent="0.2">
      <c r="A11" s="7" t="s">
        <v>120</v>
      </c>
      <c r="B11" s="6"/>
      <c r="C11" s="6"/>
      <c r="D11" s="6"/>
      <c r="E11" s="7" t="s">
        <v>10</v>
      </c>
      <c r="F11" s="6"/>
      <c r="G11" s="6"/>
      <c r="H11" s="6"/>
      <c r="I11" s="6"/>
      <c r="J11" s="6"/>
      <c r="K11" s="6"/>
      <c r="L11" s="85"/>
      <c r="M11" s="6" t="s">
        <v>11</v>
      </c>
      <c r="N11" s="6"/>
      <c r="O11" s="6"/>
    </row>
    <row r="12" spans="1:15" ht="3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47"/>
      <c r="M12" s="6"/>
      <c r="N12" s="6"/>
      <c r="O12" s="6"/>
    </row>
    <row r="13" spans="1:15" ht="12.75" x14ac:dyDescent="0.2">
      <c r="A13" s="152" t="s">
        <v>129</v>
      </c>
      <c r="B13" s="152"/>
      <c r="C13" s="152"/>
      <c r="D13" s="9"/>
      <c r="E13" s="152"/>
      <c r="F13" s="152"/>
      <c r="G13" s="6"/>
      <c r="H13" s="6"/>
      <c r="I13" s="7" t="s">
        <v>12</v>
      </c>
      <c r="J13" s="6"/>
      <c r="K13" s="6"/>
      <c r="L13" s="85"/>
      <c r="M13" s="6" t="s">
        <v>13</v>
      </c>
      <c r="N13" s="6"/>
      <c r="O13" s="6"/>
    </row>
    <row r="14" spans="1:15" ht="3" customHeight="1" x14ac:dyDescent="0.2">
      <c r="A14" s="83"/>
      <c r="B14" s="83"/>
      <c r="C14" s="83"/>
      <c r="D14" s="9"/>
      <c r="E14" s="152"/>
      <c r="F14" s="152"/>
      <c r="G14" s="6"/>
      <c r="H14" s="6"/>
      <c r="I14" s="6"/>
      <c r="J14" s="6"/>
      <c r="K14" s="6"/>
      <c r="L14" s="48"/>
      <c r="M14" s="48"/>
      <c r="N14" s="48"/>
      <c r="O14" s="6"/>
    </row>
    <row r="15" spans="1:15" ht="12.75" x14ac:dyDescent="0.2">
      <c r="A15" s="152" t="s">
        <v>130</v>
      </c>
      <c r="B15" s="152"/>
      <c r="C15" s="152"/>
      <c r="D15" s="9"/>
      <c r="E15" s="152"/>
      <c r="F15" s="152"/>
      <c r="G15" s="6"/>
      <c r="H15" s="6"/>
      <c r="I15" s="7" t="s">
        <v>113</v>
      </c>
      <c r="J15" s="83" t="s">
        <v>127</v>
      </c>
      <c r="K15" s="6"/>
      <c r="L15" s="48"/>
      <c r="M15" s="48"/>
      <c r="N15" s="48"/>
      <c r="O15" s="6"/>
    </row>
    <row r="16" spans="1:15" ht="12.75" x14ac:dyDescent="0.2">
      <c r="A16" s="152" t="s">
        <v>131</v>
      </c>
      <c r="B16" s="152"/>
      <c r="C16" s="152"/>
      <c r="D16" s="9"/>
      <c r="E16" s="152"/>
      <c r="F16" s="152"/>
      <c r="G16" s="6"/>
      <c r="H16" s="6"/>
      <c r="I16" s="6"/>
      <c r="J16" s="9"/>
      <c r="K16" s="6"/>
      <c r="L16" s="6"/>
      <c r="M16" s="6"/>
      <c r="N16" s="6"/>
      <c r="O16" s="6"/>
    </row>
    <row r="17" spans="1:15" ht="13.5" thickBot="1" x14ac:dyDescent="0.25">
      <c r="A17" s="98" t="s">
        <v>14</v>
      </c>
      <c r="B17" s="11"/>
      <c r="C17" s="11"/>
      <c r="D17" s="49"/>
      <c r="E17" s="11"/>
      <c r="F17" s="6"/>
      <c r="G17" s="6"/>
      <c r="H17" s="6"/>
      <c r="I17" s="7" t="s">
        <v>15</v>
      </c>
      <c r="J17" s="86">
        <v>44638</v>
      </c>
      <c r="K17" s="6"/>
      <c r="L17" s="6"/>
      <c r="M17" s="6"/>
      <c r="N17" s="6"/>
      <c r="O17" s="6"/>
    </row>
    <row r="18" spans="1:15" ht="3" customHeight="1" x14ac:dyDescent="0.2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5" ht="18.75" x14ac:dyDescent="0.3">
      <c r="A19" s="1" t="s">
        <v>16</v>
      </c>
      <c r="H19" s="13" t="s">
        <v>17</v>
      </c>
      <c r="I19" s="10"/>
      <c r="J19" s="10"/>
      <c r="K19" s="10"/>
      <c r="L19" s="10"/>
      <c r="M19" s="10"/>
      <c r="N19" s="10"/>
      <c r="O19" s="10"/>
    </row>
    <row r="20" spans="1:15" ht="11.1" customHeight="1" x14ac:dyDescent="0.2">
      <c r="A20" s="14" t="s">
        <v>18</v>
      </c>
      <c r="H20" s="13" t="s">
        <v>19</v>
      </c>
    </row>
    <row r="21" spans="1:15" ht="11.1" customHeight="1" x14ac:dyDescent="0.2">
      <c r="A21" s="13" t="s">
        <v>20</v>
      </c>
      <c r="H21" s="13" t="s">
        <v>21</v>
      </c>
    </row>
    <row r="22" spans="1:15" ht="11.1" customHeight="1" x14ac:dyDescent="0.2">
      <c r="A22" s="13" t="s">
        <v>12</v>
      </c>
      <c r="H22" s="13" t="s">
        <v>22</v>
      </c>
    </row>
    <row r="23" spans="1:15" ht="11.1" customHeight="1" x14ac:dyDescent="0.2">
      <c r="A23" s="13" t="s">
        <v>12</v>
      </c>
      <c r="H23" s="13" t="s">
        <v>23</v>
      </c>
    </row>
    <row r="24" spans="1:15" ht="11.1" customHeight="1" x14ac:dyDescent="0.2">
      <c r="H24" s="11"/>
      <c r="I24" s="11"/>
      <c r="J24" s="11"/>
      <c r="K24" s="11"/>
      <c r="L24" s="11"/>
      <c r="M24" s="11"/>
      <c r="N24" s="11"/>
      <c r="O24" s="11"/>
    </row>
    <row r="25" spans="1:15" ht="11.1" customHeight="1" x14ac:dyDescent="0.2">
      <c r="A25" s="13" t="s">
        <v>24</v>
      </c>
      <c r="E25" s="15" t="s">
        <v>25</v>
      </c>
      <c r="F25" s="44">
        <f>'G703'!D29</f>
        <v>1638000</v>
      </c>
      <c r="H25" s="11"/>
      <c r="I25" s="11"/>
      <c r="J25" s="11"/>
      <c r="K25" s="11"/>
      <c r="L25" s="11"/>
      <c r="M25" s="11"/>
      <c r="N25" s="11"/>
      <c r="O25" s="11"/>
    </row>
    <row r="26" spans="1:15" ht="11.1" customHeight="1" x14ac:dyDescent="0.2">
      <c r="A26" s="13" t="s">
        <v>106</v>
      </c>
      <c r="E26" s="15" t="s">
        <v>25</v>
      </c>
      <c r="F26" s="44">
        <f>'CO 703'!D37</f>
        <v>-114343.5</v>
      </c>
      <c r="H26" s="50" t="s">
        <v>26</v>
      </c>
      <c r="I26" s="11"/>
      <c r="J26" s="11"/>
      <c r="K26" s="11"/>
      <c r="L26" s="11"/>
      <c r="M26" s="11"/>
      <c r="N26" s="11"/>
      <c r="O26" s="11"/>
    </row>
    <row r="27" spans="1:15" ht="11.1" customHeight="1" x14ac:dyDescent="0.2">
      <c r="A27" s="13" t="s">
        <v>103</v>
      </c>
      <c r="E27" s="15" t="s">
        <v>27</v>
      </c>
      <c r="F27" s="44">
        <f>ROUND(SUM(F25:F26),2)</f>
        <v>1523656.5</v>
      </c>
      <c r="H27" s="11"/>
      <c r="I27" s="11"/>
      <c r="J27" s="11"/>
      <c r="K27" s="11"/>
      <c r="L27" s="11"/>
      <c r="M27" s="11"/>
      <c r="N27" s="11"/>
      <c r="O27" s="11"/>
    </row>
    <row r="28" spans="1:15" ht="11.1" customHeight="1" x14ac:dyDescent="0.2">
      <c r="A28" s="13" t="s">
        <v>104</v>
      </c>
      <c r="E28" s="15" t="s">
        <v>27</v>
      </c>
      <c r="F28" s="44">
        <f>'G703'!H29+'CO 703'!H37</f>
        <v>1380624.5</v>
      </c>
      <c r="H28" s="11"/>
      <c r="I28" s="11"/>
      <c r="J28" s="11"/>
      <c r="K28" s="11"/>
      <c r="L28" s="11"/>
      <c r="M28" s="11"/>
      <c r="N28" s="11"/>
      <c r="O28" s="11"/>
    </row>
    <row r="29" spans="1:15" ht="11.1" customHeight="1" x14ac:dyDescent="0.2">
      <c r="A29" s="13"/>
      <c r="H29" s="50" t="s">
        <v>28</v>
      </c>
      <c r="I29" s="16"/>
      <c r="J29" s="16"/>
      <c r="K29" s="16"/>
      <c r="L29" s="50" t="s">
        <v>29</v>
      </c>
      <c r="M29" s="16"/>
      <c r="N29" s="16"/>
      <c r="O29" s="16"/>
    </row>
    <row r="30" spans="1:15" ht="11.1" customHeight="1" x14ac:dyDescent="0.2">
      <c r="H30" s="11"/>
      <c r="I30" s="11"/>
      <c r="J30" s="11"/>
      <c r="K30" s="11"/>
      <c r="L30" s="11"/>
      <c r="M30" s="11"/>
      <c r="N30" s="11"/>
      <c r="O30" s="11"/>
    </row>
    <row r="31" spans="1:15" ht="11.1" customHeight="1" x14ac:dyDescent="0.2">
      <c r="A31" s="13" t="s">
        <v>30</v>
      </c>
      <c r="H31" s="50" t="s">
        <v>31</v>
      </c>
      <c r="I31" s="11"/>
      <c r="J31" s="11"/>
      <c r="K31" s="51" t="s">
        <v>32</v>
      </c>
      <c r="L31" s="11"/>
      <c r="M31" s="11"/>
      <c r="N31" s="11"/>
      <c r="O31" s="11"/>
    </row>
    <row r="32" spans="1:15" ht="11.1" customHeight="1" x14ac:dyDescent="0.2">
      <c r="A32" s="15"/>
      <c r="B32" s="97">
        <f>'G703'!K11</f>
        <v>0.05</v>
      </c>
      <c r="C32" s="13" t="s">
        <v>105</v>
      </c>
      <c r="D32" s="13" t="s">
        <v>122</v>
      </c>
      <c r="E32" s="44">
        <f>'G703'!K29+'CO 703'!K37</f>
        <v>69031.23000000001</v>
      </c>
      <c r="H32" s="50" t="s">
        <v>33</v>
      </c>
      <c r="I32" s="11"/>
      <c r="J32" s="11"/>
      <c r="K32" s="50" t="s">
        <v>34</v>
      </c>
      <c r="L32" s="11"/>
      <c r="M32" s="11"/>
      <c r="N32" s="11"/>
      <c r="O32" s="50" t="s">
        <v>12</v>
      </c>
    </row>
    <row r="33" spans="1:15" ht="11.1" customHeight="1" x14ac:dyDescent="0.2">
      <c r="C33" s="13"/>
      <c r="H33" s="50" t="s">
        <v>35</v>
      </c>
      <c r="I33" s="11"/>
      <c r="J33" s="11"/>
      <c r="K33" s="11"/>
      <c r="L33" s="11"/>
      <c r="M33" s="11"/>
      <c r="N33" s="11"/>
      <c r="O33" s="11"/>
    </row>
    <row r="34" spans="1:15" ht="11.1" customHeight="1" x14ac:dyDescent="0.2">
      <c r="A34" s="95"/>
      <c r="B34" s="96"/>
      <c r="C34" s="96"/>
      <c r="D34" s="95"/>
      <c r="E34" s="95"/>
      <c r="H34" s="50" t="s">
        <v>36</v>
      </c>
      <c r="I34" s="11"/>
      <c r="J34" s="11"/>
      <c r="K34" s="11"/>
      <c r="L34" s="11"/>
      <c r="M34" s="11"/>
      <c r="N34" s="11"/>
      <c r="O34" s="11"/>
    </row>
    <row r="35" spans="1:15" ht="10.9" customHeight="1" thickBot="1" x14ac:dyDescent="0.25">
      <c r="A35" s="13" t="s">
        <v>38</v>
      </c>
      <c r="E35" s="15" t="s">
        <v>27</v>
      </c>
      <c r="F35" s="44">
        <f>ROUND(SUM(F28-E32),2)</f>
        <v>1311593.27</v>
      </c>
      <c r="H35" s="52"/>
      <c r="I35" s="52"/>
      <c r="J35" s="52"/>
      <c r="K35" s="52"/>
      <c r="L35" s="52"/>
      <c r="M35" s="52"/>
      <c r="N35" s="52"/>
      <c r="O35" s="52"/>
    </row>
    <row r="36" spans="1:15" ht="15.6" customHeight="1" x14ac:dyDescent="0.3">
      <c r="A36" s="55" t="s">
        <v>12</v>
      </c>
      <c r="B36" s="13"/>
      <c r="C36" s="13"/>
      <c r="H36" s="1" t="s">
        <v>37</v>
      </c>
      <c r="I36" s="57"/>
      <c r="J36" s="57"/>
      <c r="K36" s="57"/>
      <c r="L36" s="57"/>
      <c r="M36" s="57"/>
      <c r="N36" s="57"/>
      <c r="O36" s="57"/>
    </row>
    <row r="37" spans="1:15" ht="11.1" customHeight="1" x14ac:dyDescent="0.2">
      <c r="H37" s="13" t="s">
        <v>39</v>
      </c>
    </row>
    <row r="38" spans="1:15" ht="11.1" customHeight="1" x14ac:dyDescent="0.2">
      <c r="A38" s="13" t="s">
        <v>115</v>
      </c>
      <c r="E38" s="15" t="s">
        <v>27</v>
      </c>
      <c r="F38" s="93">
        <v>1249349.27</v>
      </c>
      <c r="H38" s="13" t="s">
        <v>40</v>
      </c>
    </row>
    <row r="39" spans="1:15" ht="11.1" customHeight="1" x14ac:dyDescent="0.2">
      <c r="A39" s="13" t="s">
        <v>43</v>
      </c>
      <c r="E39" s="15" t="s">
        <v>27</v>
      </c>
      <c r="F39" s="106">
        <f>ROUND(SUM(F35-F38),2)</f>
        <v>62244</v>
      </c>
      <c r="H39" s="13" t="s">
        <v>41</v>
      </c>
    </row>
    <row r="40" spans="1:15" ht="11.1" customHeight="1" x14ac:dyDescent="0.2">
      <c r="A40" s="13" t="s">
        <v>107</v>
      </c>
      <c r="E40" s="15" t="s">
        <v>27</v>
      </c>
      <c r="F40" s="44">
        <f>ROUND(SUM(F27-F35),2)</f>
        <v>212063.23</v>
      </c>
      <c r="H40" s="13" t="s">
        <v>42</v>
      </c>
    </row>
    <row r="41" spans="1:15" ht="11.1" customHeight="1" x14ac:dyDescent="0.2">
      <c r="H41" s="13" t="s">
        <v>44</v>
      </c>
    </row>
    <row r="42" spans="1:15" ht="11.1" customHeight="1" x14ac:dyDescent="0.2">
      <c r="B42" s="13"/>
      <c r="C42" s="13"/>
    </row>
    <row r="43" spans="1:15" ht="11.1" customHeight="1" x14ac:dyDescent="0.2">
      <c r="H43" s="13" t="s">
        <v>123</v>
      </c>
      <c r="K43" s="105">
        <f>F39</f>
        <v>62244</v>
      </c>
    </row>
    <row r="44" spans="1:15" ht="11.1" customHeight="1" thickBot="1" x14ac:dyDescent="0.25"/>
    <row r="45" spans="1:15" ht="12" customHeight="1" thickBot="1" x14ac:dyDescent="0.25">
      <c r="A45" s="130" t="s">
        <v>45</v>
      </c>
      <c r="B45" s="131"/>
      <c r="C45" s="132"/>
      <c r="D45" s="59"/>
      <c r="E45" s="58" t="s">
        <v>46</v>
      </c>
      <c r="F45" s="60" t="s">
        <v>47</v>
      </c>
      <c r="H45" s="53" t="s">
        <v>48</v>
      </c>
      <c r="I45" s="11"/>
      <c r="J45" s="11"/>
      <c r="K45" s="11"/>
      <c r="L45" s="11"/>
      <c r="M45" s="11"/>
      <c r="N45" s="11"/>
      <c r="O45" s="11"/>
    </row>
    <row r="46" spans="1:15" ht="11.1" customHeight="1" x14ac:dyDescent="0.2">
      <c r="A46" s="133" t="s">
        <v>108</v>
      </c>
      <c r="B46" s="134"/>
      <c r="C46" s="135"/>
      <c r="D46" s="128"/>
      <c r="E46" s="144">
        <v>0</v>
      </c>
      <c r="F46" s="146">
        <v>0</v>
      </c>
      <c r="H46" s="54" t="s">
        <v>49</v>
      </c>
      <c r="I46" s="11"/>
      <c r="J46" s="11"/>
      <c r="K46" s="11"/>
      <c r="L46" s="11"/>
      <c r="M46" s="11"/>
      <c r="N46" s="11"/>
      <c r="O46" s="11"/>
    </row>
    <row r="47" spans="1:15" ht="11.1" customHeight="1" x14ac:dyDescent="0.2">
      <c r="A47" s="136"/>
      <c r="B47" s="137"/>
      <c r="C47" s="138"/>
      <c r="D47" s="129"/>
      <c r="E47" s="145"/>
      <c r="F47" s="147"/>
      <c r="H47" s="50" t="s">
        <v>50</v>
      </c>
      <c r="I47" s="11"/>
      <c r="J47" s="11"/>
      <c r="K47" s="11"/>
      <c r="L47" s="11"/>
      <c r="M47" s="11"/>
      <c r="N47" s="11"/>
      <c r="O47" s="11"/>
    </row>
    <row r="48" spans="1:15" ht="23.25" customHeight="1" thickBot="1" x14ac:dyDescent="0.25">
      <c r="A48" s="139" t="s">
        <v>51</v>
      </c>
      <c r="B48" s="140"/>
      <c r="C48" s="141"/>
      <c r="D48" s="61"/>
      <c r="E48" s="87">
        <v>0</v>
      </c>
      <c r="F48" s="88">
        <v>0</v>
      </c>
      <c r="H48" s="50" t="s">
        <v>28</v>
      </c>
      <c r="I48" s="16"/>
      <c r="J48" s="16"/>
      <c r="K48" s="16"/>
      <c r="L48" s="50" t="s">
        <v>29</v>
      </c>
      <c r="M48" s="11"/>
      <c r="N48" s="16"/>
      <c r="O48" s="16"/>
    </row>
    <row r="49" spans="1:15" x14ac:dyDescent="0.2">
      <c r="A49" s="62"/>
      <c r="B49" s="62"/>
      <c r="C49" s="62"/>
      <c r="D49" s="62"/>
      <c r="E49" s="148">
        <f>SUM(E46:E48)</f>
        <v>0</v>
      </c>
      <c r="F49" s="150">
        <f>F46+F48</f>
        <v>0</v>
      </c>
      <c r="H49" s="11"/>
      <c r="I49" s="11"/>
      <c r="J49" s="11"/>
      <c r="K49" s="11"/>
      <c r="L49" s="11"/>
      <c r="M49" s="11"/>
      <c r="N49" s="11"/>
      <c r="O49" s="11"/>
    </row>
    <row r="50" spans="1:15" ht="13.5" customHeight="1" x14ac:dyDescent="0.2">
      <c r="A50" s="63" t="s">
        <v>52</v>
      </c>
      <c r="B50" s="62"/>
      <c r="C50" s="62"/>
      <c r="D50" s="62"/>
      <c r="E50" s="148"/>
      <c r="F50" s="150"/>
      <c r="H50" s="50" t="s">
        <v>53</v>
      </c>
      <c r="I50" s="11"/>
      <c r="J50" s="11"/>
      <c r="K50" s="11"/>
      <c r="L50" s="11"/>
      <c r="M50" s="11"/>
      <c r="N50" s="11"/>
      <c r="O50" s="11"/>
    </row>
    <row r="51" spans="1:15" ht="11.25" customHeight="1" x14ac:dyDescent="0.2">
      <c r="A51" s="64"/>
      <c r="B51" s="65"/>
      <c r="C51" s="65"/>
      <c r="D51" s="65"/>
      <c r="E51" s="149"/>
      <c r="F51" s="151"/>
      <c r="H51" s="50" t="s">
        <v>54</v>
      </c>
      <c r="I51" s="11"/>
      <c r="J51" s="11"/>
      <c r="K51" s="11"/>
      <c r="L51" s="11"/>
      <c r="M51" s="11"/>
      <c r="N51" s="11"/>
      <c r="O51" s="11"/>
    </row>
    <row r="52" spans="1:15" ht="12.75" customHeight="1" thickBot="1" x14ac:dyDescent="0.25">
      <c r="A52" s="66" t="s">
        <v>55</v>
      </c>
      <c r="B52" s="67"/>
      <c r="C52" s="68"/>
      <c r="D52" s="68"/>
      <c r="E52" s="142">
        <f>E49-F49</f>
        <v>0</v>
      </c>
      <c r="F52" s="143"/>
      <c r="H52" s="50" t="s">
        <v>56</v>
      </c>
      <c r="I52" s="11"/>
      <c r="J52" s="11"/>
      <c r="K52" s="11"/>
      <c r="L52" s="11"/>
      <c r="M52" s="11"/>
      <c r="N52" s="11"/>
      <c r="O52" s="11"/>
    </row>
    <row r="53" spans="1:15" ht="6" customHeight="1" thickBot="1" x14ac:dyDescent="0.25">
      <c r="H53" s="6"/>
      <c r="I53" s="6"/>
      <c r="J53" s="6"/>
      <c r="K53" s="6"/>
      <c r="L53" s="6"/>
      <c r="M53" s="6"/>
      <c r="N53" s="6"/>
      <c r="O53" s="6"/>
    </row>
    <row r="54" spans="1:15" x14ac:dyDescent="0.2">
      <c r="A54" s="17" t="s">
        <v>57</v>
      </c>
      <c r="B54" s="69"/>
      <c r="C54" s="69"/>
      <c r="D54" s="69"/>
      <c r="E54" s="69"/>
      <c r="F54" s="69"/>
      <c r="G54" s="69"/>
      <c r="H54" s="17" t="s">
        <v>58</v>
      </c>
      <c r="I54" s="69"/>
      <c r="J54" s="69"/>
      <c r="K54" s="69"/>
      <c r="L54" s="69"/>
      <c r="M54" s="69"/>
      <c r="N54" s="69"/>
      <c r="O54" s="69"/>
    </row>
    <row r="55" spans="1:15" x14ac:dyDescent="0.2">
      <c r="A55" s="70" t="s">
        <v>59</v>
      </c>
      <c r="O55" s="71"/>
    </row>
  </sheetData>
  <mergeCells count="19">
    <mergeCell ref="E14:F14"/>
    <mergeCell ref="E15:F15"/>
    <mergeCell ref="E16:F16"/>
    <mergeCell ref="A15:C15"/>
    <mergeCell ref="A16:C16"/>
    <mergeCell ref="A5:C5"/>
    <mergeCell ref="A13:C13"/>
    <mergeCell ref="A7:C7"/>
    <mergeCell ref="A9:C9"/>
    <mergeCell ref="E13:F13"/>
    <mergeCell ref="D46:D47"/>
    <mergeCell ref="A45:C45"/>
    <mergeCell ref="A46:C47"/>
    <mergeCell ref="A48:C48"/>
    <mergeCell ref="E52:F52"/>
    <mergeCell ref="E46:E47"/>
    <mergeCell ref="F46:F47"/>
    <mergeCell ref="E49:E51"/>
    <mergeCell ref="F49:F51"/>
  </mergeCells>
  <phoneticPr fontId="0" type="noConversion"/>
  <printOptions gridLinesSet="0"/>
  <pageMargins left="0.25" right="0.25" top="0.75" bottom="0.75" header="0.3" footer="0.3"/>
  <pageSetup scale="81" orientation="landscape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A12" transitionEvaluation="1"/>
  <dimension ref="B1:II34"/>
  <sheetViews>
    <sheetView showGridLines="0" zoomScale="115" zoomScaleNormal="115" workbookViewId="0">
      <pane ySplit="11" topLeftCell="A12" activePane="bottomLeft" state="frozen"/>
      <selection pane="bottomLeft" activeCell="S31" sqref="S31"/>
    </sheetView>
  </sheetViews>
  <sheetFormatPr defaultColWidth="9.83203125" defaultRowHeight="12.75" x14ac:dyDescent="0.2"/>
  <cols>
    <col min="1" max="1" width="4.6640625" style="24" customWidth="1"/>
    <col min="2" max="2" width="7.83203125" style="24" customWidth="1"/>
    <col min="3" max="3" width="47.33203125" style="41" bestFit="1" customWidth="1"/>
    <col min="4" max="4" width="14.33203125" style="24" customWidth="1"/>
    <col min="5" max="5" width="14.6640625" style="24" bestFit="1" customWidth="1"/>
    <col min="6" max="6" width="13.83203125" style="24" customWidth="1"/>
    <col min="7" max="7" width="12.6640625" style="24" customWidth="1"/>
    <col min="8" max="8" width="14.33203125" style="24" customWidth="1"/>
    <col min="9" max="9" width="11" style="24" customWidth="1"/>
    <col min="10" max="10" width="16" style="24" customWidth="1"/>
    <col min="11" max="11" width="15.6640625" style="24" customWidth="1"/>
    <col min="12" max="14" width="9.83203125" style="24"/>
    <col min="15" max="15" width="11" style="24" bestFit="1" customWidth="1"/>
    <col min="16" max="16384" width="9.83203125" style="24"/>
  </cols>
  <sheetData>
    <row r="1" spans="2:243" ht="24" thickBot="1" x14ac:dyDescent="0.4">
      <c r="B1" s="18" t="s">
        <v>60</v>
      </c>
      <c r="C1" s="40"/>
      <c r="D1" s="19"/>
      <c r="E1" s="19"/>
      <c r="F1" s="20" t="s">
        <v>61</v>
      </c>
      <c r="G1" s="19"/>
      <c r="H1" s="73"/>
      <c r="I1" s="72"/>
      <c r="J1" s="21" t="s">
        <v>110</v>
      </c>
      <c r="K1" s="74"/>
      <c r="II1" s="22" t="s">
        <v>62</v>
      </c>
    </row>
    <row r="2" spans="2:243" x14ac:dyDescent="0.2">
      <c r="B2" s="23" t="s">
        <v>63</v>
      </c>
      <c r="H2" s="25"/>
      <c r="I2" s="75" t="s">
        <v>112</v>
      </c>
      <c r="J2" s="89">
        <v>13</v>
      </c>
      <c r="K2" s="25"/>
      <c r="II2" s="22" t="s">
        <v>64</v>
      </c>
    </row>
    <row r="3" spans="2:243" ht="11.1" customHeight="1" x14ac:dyDescent="0.2">
      <c r="B3" s="23" t="s">
        <v>65</v>
      </c>
      <c r="H3" s="25"/>
      <c r="I3" s="75" t="s">
        <v>66</v>
      </c>
      <c r="J3" s="90">
        <v>45000</v>
      </c>
      <c r="K3" s="25"/>
      <c r="II3" s="22" t="s">
        <v>67</v>
      </c>
    </row>
    <row r="4" spans="2:243" ht="14.1" customHeight="1" x14ac:dyDescent="0.2">
      <c r="B4" s="23" t="s">
        <v>68</v>
      </c>
      <c r="H4" s="25"/>
      <c r="I4" s="75" t="s">
        <v>8</v>
      </c>
      <c r="J4" s="90">
        <f>'G702'!J9</f>
        <v>45016</v>
      </c>
      <c r="K4" s="25"/>
      <c r="II4" s="22" t="s">
        <v>69</v>
      </c>
    </row>
    <row r="5" spans="2:243" x14ac:dyDescent="0.2">
      <c r="B5" s="23" t="s">
        <v>70</v>
      </c>
      <c r="H5" s="25"/>
      <c r="I5" s="75" t="s">
        <v>114</v>
      </c>
      <c r="J5" s="91" t="str">
        <f>'G702'!J15</f>
        <v>21-10004</v>
      </c>
      <c r="K5" s="25"/>
      <c r="II5" s="22" t="s">
        <v>72</v>
      </c>
    </row>
    <row r="6" spans="2:243" x14ac:dyDescent="0.2">
      <c r="H6" s="25"/>
      <c r="I6" s="25"/>
      <c r="J6" s="25"/>
      <c r="K6" s="25"/>
      <c r="II6" s="22" t="s">
        <v>73</v>
      </c>
    </row>
    <row r="7" spans="2:243" x14ac:dyDescent="0.2">
      <c r="B7" s="26" t="s">
        <v>74</v>
      </c>
      <c r="C7" s="42" t="s">
        <v>75</v>
      </c>
      <c r="D7" s="26" t="s">
        <v>76</v>
      </c>
      <c r="E7" s="26" t="s">
        <v>77</v>
      </c>
      <c r="F7" s="26" t="s">
        <v>78</v>
      </c>
      <c r="G7" s="26" t="s">
        <v>79</v>
      </c>
      <c r="H7" s="27" t="s">
        <v>80</v>
      </c>
      <c r="I7" s="28"/>
      <c r="J7" s="27" t="s">
        <v>81</v>
      </c>
      <c r="K7" s="29" t="s">
        <v>82</v>
      </c>
      <c r="II7" s="22" t="s">
        <v>83</v>
      </c>
    </row>
    <row r="8" spans="2:243" ht="9.75" customHeight="1" x14ac:dyDescent="0.2">
      <c r="B8" s="30" t="s">
        <v>84</v>
      </c>
      <c r="C8" s="153" t="s">
        <v>85</v>
      </c>
      <c r="D8" s="30" t="s">
        <v>86</v>
      </c>
      <c r="E8" s="31" t="s">
        <v>87</v>
      </c>
      <c r="F8" s="32"/>
      <c r="G8" s="30" t="s">
        <v>88</v>
      </c>
      <c r="H8" s="30" t="s">
        <v>89</v>
      </c>
      <c r="I8" s="30" t="s">
        <v>90</v>
      </c>
      <c r="J8" s="33" t="s">
        <v>91</v>
      </c>
      <c r="K8" s="34" t="s">
        <v>92</v>
      </c>
    </row>
    <row r="9" spans="2:243" ht="9.75" customHeight="1" x14ac:dyDescent="0.2">
      <c r="B9" s="117" t="s">
        <v>117</v>
      </c>
      <c r="C9" s="154"/>
      <c r="D9" s="30" t="s">
        <v>93</v>
      </c>
      <c r="E9" s="30" t="s">
        <v>94</v>
      </c>
      <c r="F9" s="30" t="s">
        <v>95</v>
      </c>
      <c r="G9" s="30" t="s">
        <v>96</v>
      </c>
      <c r="H9" s="30" t="s">
        <v>97</v>
      </c>
      <c r="I9" s="30" t="s">
        <v>116</v>
      </c>
      <c r="J9" s="33" t="s">
        <v>98</v>
      </c>
      <c r="K9" s="37"/>
    </row>
    <row r="10" spans="2:243" ht="9.75" customHeight="1" x14ac:dyDescent="0.2">
      <c r="B10" s="118"/>
      <c r="C10" s="154"/>
      <c r="D10" s="36"/>
      <c r="E10" s="30" t="s">
        <v>99</v>
      </c>
      <c r="F10" s="36"/>
      <c r="G10" s="30" t="s">
        <v>100</v>
      </c>
      <c r="H10" s="30" t="s">
        <v>101</v>
      </c>
      <c r="I10" s="36"/>
      <c r="J10" s="33"/>
      <c r="K10" s="34"/>
    </row>
    <row r="11" spans="2:243" ht="11.45" customHeight="1" x14ac:dyDescent="0.2">
      <c r="B11" s="118"/>
      <c r="C11" s="154"/>
      <c r="D11" s="36"/>
      <c r="E11" s="30"/>
      <c r="F11" s="36"/>
      <c r="G11" s="30"/>
      <c r="H11" s="30" t="s">
        <v>102</v>
      </c>
      <c r="I11" s="36"/>
      <c r="J11" s="36"/>
      <c r="K11" s="110">
        <v>0.05</v>
      </c>
    </row>
    <row r="12" spans="2:243" x14ac:dyDescent="0.2">
      <c r="B12" s="119">
        <v>1</v>
      </c>
      <c r="C12" s="122" t="s">
        <v>132</v>
      </c>
      <c r="D12" s="104">
        <v>49140</v>
      </c>
      <c r="E12" s="99">
        <v>49140</v>
      </c>
      <c r="F12" s="99"/>
      <c r="G12" s="99"/>
      <c r="H12" s="100">
        <f>ROUND(SUM(E12+F12+G12),2)</f>
        <v>49140</v>
      </c>
      <c r="I12" s="111">
        <f>H12/D12</f>
        <v>1</v>
      </c>
      <c r="J12" s="100">
        <f>ROUND(SUM(D12-H12),2)</f>
        <v>0</v>
      </c>
      <c r="K12" s="100">
        <f>ROUND(SUM(H12*$K$11),2)</f>
        <v>2457</v>
      </c>
      <c r="M12" s="76"/>
    </row>
    <row r="13" spans="2:243" x14ac:dyDescent="0.2">
      <c r="B13" s="120">
        <v>2</v>
      </c>
      <c r="C13" s="122" t="s">
        <v>133</v>
      </c>
      <c r="D13" s="104">
        <v>49140</v>
      </c>
      <c r="E13" s="99">
        <v>49140</v>
      </c>
      <c r="F13" s="99"/>
      <c r="G13" s="99"/>
      <c r="H13" s="100">
        <f t="shared" ref="H13:H28" si="0">ROUND(SUM(E13+F13+G13),2)</f>
        <v>49140</v>
      </c>
      <c r="I13" s="111">
        <f>H13/D13</f>
        <v>1</v>
      </c>
      <c r="J13" s="100">
        <f t="shared" ref="J13:J28" si="1">ROUND(SUM(D13-H13),2)</f>
        <v>0</v>
      </c>
      <c r="K13" s="100">
        <f t="shared" ref="K13:K28" si="2">ROUND(SUM(H13*$K$11),2)</f>
        <v>2457</v>
      </c>
    </row>
    <row r="14" spans="2:243" x14ac:dyDescent="0.2">
      <c r="B14" s="120">
        <v>3</v>
      </c>
      <c r="C14" s="122" t="s">
        <v>134</v>
      </c>
      <c r="D14" s="104">
        <v>103800</v>
      </c>
      <c r="E14" s="99">
        <v>103800</v>
      </c>
      <c r="F14" s="99"/>
      <c r="G14" s="99"/>
      <c r="H14" s="100">
        <f t="shared" si="0"/>
        <v>103800</v>
      </c>
      <c r="I14" s="111">
        <f t="shared" ref="I14:I28" si="3">H14/D14</f>
        <v>1</v>
      </c>
      <c r="J14" s="100">
        <f t="shared" si="1"/>
        <v>0</v>
      </c>
      <c r="K14" s="100">
        <f t="shared" si="2"/>
        <v>5190</v>
      </c>
    </row>
    <row r="15" spans="2:243" x14ac:dyDescent="0.2">
      <c r="B15" s="120">
        <v>4</v>
      </c>
      <c r="C15" s="122" t="s">
        <v>135</v>
      </c>
      <c r="D15" s="104">
        <v>163800</v>
      </c>
      <c r="E15" s="99">
        <v>163800</v>
      </c>
      <c r="F15" s="99"/>
      <c r="G15" s="99"/>
      <c r="H15" s="100">
        <f t="shared" si="0"/>
        <v>163800</v>
      </c>
      <c r="I15" s="111">
        <f t="shared" si="3"/>
        <v>1</v>
      </c>
      <c r="J15" s="100">
        <f t="shared" si="1"/>
        <v>0</v>
      </c>
      <c r="K15" s="100">
        <f t="shared" si="2"/>
        <v>8190</v>
      </c>
    </row>
    <row r="16" spans="2:243" x14ac:dyDescent="0.2">
      <c r="B16" s="120">
        <v>5</v>
      </c>
      <c r="C16" s="122" t="s">
        <v>136</v>
      </c>
      <c r="D16" s="104">
        <v>163800</v>
      </c>
      <c r="E16" s="99">
        <v>163800</v>
      </c>
      <c r="F16" s="99"/>
      <c r="G16" s="99"/>
      <c r="H16" s="100">
        <f t="shared" si="0"/>
        <v>163800</v>
      </c>
      <c r="I16" s="111">
        <f t="shared" si="3"/>
        <v>1</v>
      </c>
      <c r="J16" s="100">
        <f t="shared" si="1"/>
        <v>0</v>
      </c>
      <c r="K16" s="100">
        <f t="shared" si="2"/>
        <v>8190</v>
      </c>
    </row>
    <row r="17" spans="2:11" x14ac:dyDescent="0.2">
      <c r="B17" s="120">
        <v>6</v>
      </c>
      <c r="C17" s="122" t="s">
        <v>137</v>
      </c>
      <c r="D17" s="104">
        <v>163800</v>
      </c>
      <c r="E17" s="99">
        <v>163800</v>
      </c>
      <c r="F17" s="99"/>
      <c r="G17" s="99"/>
      <c r="H17" s="100">
        <f t="shared" si="0"/>
        <v>163800</v>
      </c>
      <c r="I17" s="111">
        <f t="shared" si="3"/>
        <v>1</v>
      </c>
      <c r="J17" s="100">
        <f t="shared" si="1"/>
        <v>0</v>
      </c>
      <c r="K17" s="100">
        <f t="shared" si="2"/>
        <v>8190</v>
      </c>
    </row>
    <row r="18" spans="2:11" x14ac:dyDescent="0.2">
      <c r="B18" s="120">
        <v>7</v>
      </c>
      <c r="C18" s="122" t="s">
        <v>138</v>
      </c>
      <c r="D18" s="104">
        <v>163800</v>
      </c>
      <c r="E18" s="99">
        <v>163800</v>
      </c>
      <c r="F18" s="99"/>
      <c r="G18" s="99"/>
      <c r="H18" s="100">
        <f t="shared" ref="H18:H27" si="4">ROUND(SUM(E18+F18+G18),2)</f>
        <v>163800</v>
      </c>
      <c r="I18" s="111">
        <f t="shared" ref="I18:I27" si="5">H18/D18</f>
        <v>1</v>
      </c>
      <c r="J18" s="100">
        <f t="shared" ref="J18:J24" si="6">ROUND(SUM(D18-H18),2)</f>
        <v>0</v>
      </c>
      <c r="K18" s="100">
        <f t="shared" ref="K18:K27" si="7">ROUND(SUM(H18*$K$11),2)</f>
        <v>8190</v>
      </c>
    </row>
    <row r="19" spans="2:11" x14ac:dyDescent="0.2">
      <c r="B19" s="120">
        <v>8</v>
      </c>
      <c r="C19" s="122" t="s">
        <v>139</v>
      </c>
      <c r="D19" s="104">
        <v>163800</v>
      </c>
      <c r="E19" s="99">
        <v>163800</v>
      </c>
      <c r="F19" s="99"/>
      <c r="G19" s="99"/>
      <c r="H19" s="100">
        <f t="shared" si="4"/>
        <v>163800</v>
      </c>
      <c r="I19" s="111">
        <f t="shared" si="5"/>
        <v>1</v>
      </c>
      <c r="J19" s="100">
        <f t="shared" si="6"/>
        <v>0</v>
      </c>
      <c r="K19" s="100">
        <f t="shared" si="7"/>
        <v>8190</v>
      </c>
    </row>
    <row r="20" spans="2:11" x14ac:dyDescent="0.2">
      <c r="B20" s="120"/>
      <c r="C20" s="122" t="s">
        <v>147</v>
      </c>
      <c r="D20" s="104">
        <v>13192</v>
      </c>
      <c r="E20" s="99">
        <v>13192</v>
      </c>
      <c r="F20" s="99"/>
      <c r="G20" s="99"/>
      <c r="H20" s="100">
        <f t="shared" ref="H20" si="8">ROUND(SUM(E20+F20+G20),2)</f>
        <v>13192</v>
      </c>
      <c r="I20" s="111">
        <f t="shared" ref="I20" si="9">H20/D20</f>
        <v>1</v>
      </c>
      <c r="J20" s="100">
        <f t="shared" ref="J20" si="10">ROUND(SUM(D20-H20),2)</f>
        <v>0</v>
      </c>
      <c r="K20" s="100">
        <f t="shared" ref="K20" si="11">ROUND(SUM(H20*$K$11),2)</f>
        <v>659.6</v>
      </c>
    </row>
    <row r="21" spans="2:11" x14ac:dyDescent="0.2">
      <c r="B21" s="120">
        <v>9</v>
      </c>
      <c r="C21" s="122" t="s">
        <v>140</v>
      </c>
      <c r="D21" s="104">
        <v>163800</v>
      </c>
      <c r="E21" s="99">
        <v>163800</v>
      </c>
      <c r="F21" s="99"/>
      <c r="G21" s="99"/>
      <c r="H21" s="100">
        <f t="shared" si="4"/>
        <v>163800</v>
      </c>
      <c r="I21" s="111">
        <f t="shared" si="5"/>
        <v>1</v>
      </c>
      <c r="J21" s="100">
        <f t="shared" si="6"/>
        <v>0</v>
      </c>
      <c r="K21" s="100">
        <f t="shared" si="7"/>
        <v>8190</v>
      </c>
    </row>
    <row r="22" spans="2:11" x14ac:dyDescent="0.2">
      <c r="B22" s="120">
        <v>10</v>
      </c>
      <c r="C22" s="122" t="s">
        <v>141</v>
      </c>
      <c r="D22" s="104">
        <v>65520</v>
      </c>
      <c r="E22" s="99">
        <v>65520</v>
      </c>
      <c r="F22" s="99"/>
      <c r="G22" s="99"/>
      <c r="H22" s="100">
        <f t="shared" si="4"/>
        <v>65520</v>
      </c>
      <c r="I22" s="111">
        <f t="shared" si="5"/>
        <v>1</v>
      </c>
      <c r="J22" s="100">
        <f t="shared" si="6"/>
        <v>0</v>
      </c>
      <c r="K22" s="100">
        <f t="shared" si="7"/>
        <v>3276</v>
      </c>
    </row>
    <row r="23" spans="2:11" x14ac:dyDescent="0.2">
      <c r="B23" s="120">
        <v>11</v>
      </c>
      <c r="C23" s="122" t="s">
        <v>142</v>
      </c>
      <c r="D23" s="104">
        <v>65520</v>
      </c>
      <c r="E23" s="99">
        <v>65520</v>
      </c>
      <c r="F23" s="99"/>
      <c r="G23" s="99"/>
      <c r="H23" s="100">
        <f t="shared" si="4"/>
        <v>65520</v>
      </c>
      <c r="I23" s="111">
        <f t="shared" si="5"/>
        <v>1</v>
      </c>
      <c r="J23" s="100">
        <f t="shared" si="6"/>
        <v>0</v>
      </c>
      <c r="K23" s="100">
        <f t="shared" si="7"/>
        <v>3276</v>
      </c>
    </row>
    <row r="24" spans="2:11" x14ac:dyDescent="0.2">
      <c r="B24" s="120">
        <v>12</v>
      </c>
      <c r="C24" s="122" t="s">
        <v>143</v>
      </c>
      <c r="D24" s="104">
        <v>65520</v>
      </c>
      <c r="E24" s="99"/>
      <c r="F24" s="99">
        <v>65520</v>
      </c>
      <c r="G24" s="99"/>
      <c r="H24" s="100">
        <f t="shared" si="4"/>
        <v>65520</v>
      </c>
      <c r="I24" s="111">
        <f t="shared" si="5"/>
        <v>1</v>
      </c>
      <c r="J24" s="100">
        <f t="shared" si="6"/>
        <v>0</v>
      </c>
      <c r="K24" s="100">
        <f t="shared" si="7"/>
        <v>3276</v>
      </c>
    </row>
    <row r="25" spans="2:11" x14ac:dyDescent="0.2">
      <c r="B25" s="120"/>
      <c r="C25" s="122" t="s">
        <v>150</v>
      </c>
      <c r="D25" s="104">
        <v>65520</v>
      </c>
      <c r="E25" s="99"/>
      <c r="F25" s="99"/>
      <c r="G25" s="99"/>
      <c r="H25" s="100">
        <f t="shared" si="4"/>
        <v>0</v>
      </c>
      <c r="I25" s="111">
        <f t="shared" si="5"/>
        <v>0</v>
      </c>
      <c r="J25" s="100">
        <v>65520</v>
      </c>
      <c r="K25" s="100">
        <f t="shared" si="7"/>
        <v>0</v>
      </c>
    </row>
    <row r="26" spans="2:11" x14ac:dyDescent="0.2">
      <c r="B26" s="120"/>
      <c r="C26" s="122" t="s">
        <v>151</v>
      </c>
      <c r="D26" s="104">
        <v>65520</v>
      </c>
      <c r="E26" s="99"/>
      <c r="F26" s="99"/>
      <c r="G26" s="99"/>
      <c r="H26" s="100">
        <f t="shared" si="4"/>
        <v>0</v>
      </c>
      <c r="I26" s="111">
        <f t="shared" si="5"/>
        <v>0</v>
      </c>
      <c r="J26" s="100">
        <v>65520</v>
      </c>
      <c r="K26" s="100">
        <f t="shared" si="7"/>
        <v>0</v>
      </c>
    </row>
    <row r="27" spans="2:11" x14ac:dyDescent="0.2">
      <c r="B27" s="120"/>
      <c r="C27" s="122" t="s">
        <v>152</v>
      </c>
      <c r="D27" s="104">
        <v>65520</v>
      </c>
      <c r="E27" s="99"/>
      <c r="F27" s="99"/>
      <c r="G27" s="99"/>
      <c r="H27" s="100">
        <f t="shared" si="4"/>
        <v>0</v>
      </c>
      <c r="I27" s="111">
        <f t="shared" si="5"/>
        <v>0</v>
      </c>
      <c r="J27" s="100">
        <v>65520</v>
      </c>
      <c r="K27" s="100">
        <f t="shared" si="7"/>
        <v>0</v>
      </c>
    </row>
    <row r="28" spans="2:11" x14ac:dyDescent="0.2">
      <c r="B28" s="121">
        <v>13</v>
      </c>
      <c r="C28" s="122" t="s">
        <v>135</v>
      </c>
      <c r="D28" s="104">
        <v>46808</v>
      </c>
      <c r="E28" s="99"/>
      <c r="F28" s="99"/>
      <c r="G28" s="99"/>
      <c r="H28" s="100">
        <f t="shared" si="0"/>
        <v>0</v>
      </c>
      <c r="I28" s="111">
        <f t="shared" si="3"/>
        <v>0</v>
      </c>
      <c r="J28" s="100">
        <f t="shared" si="1"/>
        <v>46808</v>
      </c>
      <c r="K28" s="100">
        <f t="shared" si="2"/>
        <v>0</v>
      </c>
    </row>
    <row r="29" spans="2:11" x14ac:dyDescent="0.2">
      <c r="B29" s="94"/>
      <c r="C29" s="113" t="s">
        <v>121</v>
      </c>
      <c r="D29" s="114">
        <f>ROUND(SUM(D12:D28),2)</f>
        <v>1638000</v>
      </c>
      <c r="E29" s="114">
        <f>ROUND(SUM(E12:E28),2)</f>
        <v>1329112</v>
      </c>
      <c r="F29" s="114">
        <f>ROUND(SUM(F12:F28),2)</f>
        <v>65520</v>
      </c>
      <c r="G29" s="114">
        <f>ROUND(SUM(G12:G28),2)</f>
        <v>0</v>
      </c>
      <c r="H29" s="115">
        <f>ROUND(SUM(E29+F29+G29),2)</f>
        <v>1394632</v>
      </c>
      <c r="I29" s="116">
        <f>H29/D29</f>
        <v>0.85142368742368746</v>
      </c>
      <c r="J29" s="114">
        <f>ROUND(SUM(J12:J28),2)</f>
        <v>243368</v>
      </c>
      <c r="K29" s="114">
        <f>ROUND(SUM(K12:K28),2)</f>
        <v>69731.600000000006</v>
      </c>
    </row>
    <row r="30" spans="2:11" ht="12.75" customHeight="1" x14ac:dyDescent="0.2">
      <c r="B30" s="78"/>
      <c r="C30" s="43"/>
      <c r="D30" s="38"/>
      <c r="E30" s="38"/>
      <c r="F30" s="38"/>
      <c r="G30" s="38"/>
      <c r="I30" s="39"/>
    </row>
    <row r="31" spans="2:11" x14ac:dyDescent="0.2">
      <c r="B31" s="79"/>
      <c r="I31" s="39"/>
    </row>
    <row r="32" spans="2:11" x14ac:dyDescent="0.2">
      <c r="E32" s="77"/>
    </row>
    <row r="33" spans="5:5" x14ac:dyDescent="0.2">
      <c r="E33" s="77"/>
    </row>
    <row r="34" spans="5:5" x14ac:dyDescent="0.2">
      <c r="E34" s="77"/>
    </row>
  </sheetData>
  <mergeCells count="1">
    <mergeCell ref="C8:C11"/>
  </mergeCells>
  <phoneticPr fontId="1" type="noConversion"/>
  <printOptions horizontalCentered="1" gridLinesSet="0"/>
  <pageMargins left="0.25" right="0.25" top="0.75" bottom="0.75" header="0.3" footer="0.3"/>
  <pageSetup scale="95" orientation="landscape" horizontalDpi="4294967292" verticalDpi="4294967292" r:id="rId1"/>
  <headerFooter alignWithMargins="0">
    <oddHeader xml:space="preserve">&amp;R&amp;P of &amp;N     </oddHeader>
    <oddFooter>&amp;L&amp;"Arial,Regular"&amp;6AIA DOCUMENT G703 · CONTINUATION SHEET FOR G702 · 1992 EDITION · AIA · ©1992
THE AMERICAN INSTITUTE OF ARCHITECTS, 1735 NEW YORK AVENUE, N.W. WASHINGTON, D.C.  20006-5232&amp;R&amp;"Arial,Bold"&amp;8G703-1992</oddFooter>
  </headerFooter>
  <ignoredErrors>
    <ignoredError sqref="I29:J29" formula="1"/>
    <ignoredError sqref="J4:J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2" transitionEvaluation="1"/>
  <dimension ref="B1:II42"/>
  <sheetViews>
    <sheetView showGridLines="0" zoomScale="115" zoomScaleNormal="115" workbookViewId="0">
      <pane ySplit="11" topLeftCell="A12" activePane="bottomLeft" state="frozen"/>
      <selection pane="bottomLeft" activeCell="C23" sqref="C23"/>
    </sheetView>
  </sheetViews>
  <sheetFormatPr defaultColWidth="9.83203125" defaultRowHeight="12.75" x14ac:dyDescent="0.2"/>
  <cols>
    <col min="1" max="1" width="4.6640625" style="24" customWidth="1"/>
    <col min="2" max="2" width="7.83203125" style="24" customWidth="1"/>
    <col min="3" max="3" width="52.6640625" style="41" customWidth="1"/>
    <col min="4" max="4" width="14.33203125" style="24" customWidth="1"/>
    <col min="5" max="5" width="14.1640625" style="24" customWidth="1"/>
    <col min="6" max="6" width="13.83203125" style="24" customWidth="1"/>
    <col min="7" max="7" width="12.6640625" style="24" customWidth="1"/>
    <col min="8" max="8" width="14.33203125" style="24" customWidth="1"/>
    <col min="9" max="9" width="11" style="24" customWidth="1"/>
    <col min="10" max="10" width="16" style="24" customWidth="1"/>
    <col min="11" max="11" width="15.6640625" style="24" customWidth="1"/>
    <col min="12" max="12" width="14.1640625" style="80" bestFit="1" customWidth="1"/>
    <col min="13" max="14" width="12.83203125" style="80" bestFit="1" customWidth="1"/>
    <col min="15" max="15" width="15.5" customWidth="1"/>
    <col min="16" max="16384" width="9.83203125" style="24"/>
  </cols>
  <sheetData>
    <row r="1" spans="2:243" ht="24" thickBot="1" x14ac:dyDescent="0.4">
      <c r="B1" s="18" t="s">
        <v>60</v>
      </c>
      <c r="C1" s="40"/>
      <c r="D1" s="19"/>
      <c r="E1" s="19"/>
      <c r="F1" s="20" t="s">
        <v>61</v>
      </c>
      <c r="G1" s="19"/>
      <c r="H1" s="73"/>
      <c r="I1" s="72"/>
      <c r="J1" s="21" t="s">
        <v>111</v>
      </c>
      <c r="K1" s="74"/>
      <c r="II1" s="22" t="s">
        <v>62</v>
      </c>
    </row>
    <row r="2" spans="2:243" x14ac:dyDescent="0.2">
      <c r="B2" s="23" t="s">
        <v>63</v>
      </c>
      <c r="H2" s="25"/>
      <c r="I2" s="75" t="s">
        <v>3</v>
      </c>
      <c r="J2" s="89">
        <f>'G702'!J3</f>
        <v>13</v>
      </c>
      <c r="K2" s="25"/>
      <c r="II2" s="22" t="s">
        <v>64</v>
      </c>
    </row>
    <row r="3" spans="2:243" ht="11.1" customHeight="1" x14ac:dyDescent="0.2">
      <c r="B3" s="23" t="s">
        <v>65</v>
      </c>
      <c r="H3" s="25"/>
      <c r="I3" s="75" t="s">
        <v>66</v>
      </c>
      <c r="J3" s="90"/>
      <c r="K3" s="25"/>
      <c r="II3" s="22" t="s">
        <v>67</v>
      </c>
    </row>
    <row r="4" spans="2:243" ht="14.1" customHeight="1" x14ac:dyDescent="0.2">
      <c r="B4" s="23" t="s">
        <v>68</v>
      </c>
      <c r="H4" s="25"/>
      <c r="I4" s="75" t="s">
        <v>8</v>
      </c>
      <c r="J4" s="90">
        <f>'G702'!J9</f>
        <v>45016</v>
      </c>
      <c r="K4" s="25"/>
      <c r="II4" s="22" t="s">
        <v>69</v>
      </c>
    </row>
    <row r="5" spans="2:243" x14ac:dyDescent="0.2">
      <c r="B5" s="23" t="s">
        <v>70</v>
      </c>
      <c r="H5" s="25"/>
      <c r="I5" s="75" t="s">
        <v>71</v>
      </c>
      <c r="J5" s="91" t="str">
        <f>'G702'!J15</f>
        <v>21-10004</v>
      </c>
      <c r="K5" s="25"/>
      <c r="II5" s="22" t="s">
        <v>72</v>
      </c>
    </row>
    <row r="6" spans="2:243" x14ac:dyDescent="0.2">
      <c r="H6" s="25"/>
      <c r="I6" s="25"/>
      <c r="J6" s="25"/>
      <c r="K6" s="25"/>
      <c r="II6" s="22" t="s">
        <v>73</v>
      </c>
    </row>
    <row r="7" spans="2:243" x14ac:dyDescent="0.2">
      <c r="B7" s="26" t="s">
        <v>74</v>
      </c>
      <c r="C7" s="42" t="s">
        <v>75</v>
      </c>
      <c r="D7" s="26" t="s">
        <v>76</v>
      </c>
      <c r="E7" s="26" t="s">
        <v>77</v>
      </c>
      <c r="F7" s="26" t="s">
        <v>78</v>
      </c>
      <c r="G7" s="26" t="s">
        <v>79</v>
      </c>
      <c r="H7" s="27" t="s">
        <v>80</v>
      </c>
      <c r="I7" s="28"/>
      <c r="J7" s="27" t="s">
        <v>81</v>
      </c>
      <c r="K7" s="29" t="s">
        <v>82</v>
      </c>
      <c r="II7" s="22" t="s">
        <v>83</v>
      </c>
    </row>
    <row r="8" spans="2:243" ht="9.75" customHeight="1" x14ac:dyDescent="0.2">
      <c r="B8" s="30" t="s">
        <v>84</v>
      </c>
      <c r="C8" s="153" t="s">
        <v>85</v>
      </c>
      <c r="D8" s="153" t="s">
        <v>118</v>
      </c>
      <c r="E8" s="31" t="s">
        <v>87</v>
      </c>
      <c r="F8" s="32"/>
      <c r="G8" s="30" t="s">
        <v>88</v>
      </c>
      <c r="H8" s="30" t="s">
        <v>89</v>
      </c>
      <c r="I8" s="30" t="s">
        <v>90</v>
      </c>
      <c r="J8" s="33" t="s">
        <v>91</v>
      </c>
      <c r="K8" s="34" t="s">
        <v>92</v>
      </c>
    </row>
    <row r="9" spans="2:243" ht="9.75" customHeight="1" x14ac:dyDescent="0.2">
      <c r="B9" s="35" t="s">
        <v>117</v>
      </c>
      <c r="C9" s="154"/>
      <c r="D9" s="154"/>
      <c r="E9" s="30" t="s">
        <v>94</v>
      </c>
      <c r="F9" s="30" t="s">
        <v>95</v>
      </c>
      <c r="G9" s="30" t="s">
        <v>96</v>
      </c>
      <c r="H9" s="30" t="s">
        <v>97</v>
      </c>
      <c r="I9" s="30" t="s">
        <v>116</v>
      </c>
      <c r="J9" s="33" t="s">
        <v>98</v>
      </c>
      <c r="K9" s="37"/>
    </row>
    <row r="10" spans="2:243" ht="9.75" customHeight="1" x14ac:dyDescent="0.2">
      <c r="B10" s="36"/>
      <c r="C10" s="154"/>
      <c r="D10" s="154"/>
      <c r="E10" s="30" t="s">
        <v>99</v>
      </c>
      <c r="F10" s="36"/>
      <c r="G10" s="30" t="s">
        <v>100</v>
      </c>
      <c r="H10" s="30" t="s">
        <v>101</v>
      </c>
      <c r="I10" s="36"/>
      <c r="J10" s="33"/>
      <c r="K10" s="34"/>
    </row>
    <row r="11" spans="2:243" ht="9" customHeight="1" x14ac:dyDescent="0.2">
      <c r="B11" s="36"/>
      <c r="C11" s="154"/>
      <c r="D11" s="154"/>
      <c r="E11" s="30"/>
      <c r="F11" s="36"/>
      <c r="G11" s="30"/>
      <c r="H11" s="30" t="s">
        <v>102</v>
      </c>
      <c r="I11" s="36"/>
      <c r="J11" s="36"/>
      <c r="K11" s="110">
        <v>0.05</v>
      </c>
      <c r="L11" s="81"/>
      <c r="M11" s="81"/>
      <c r="N11" s="81"/>
    </row>
    <row r="12" spans="2:243" x14ac:dyDescent="0.2">
      <c r="B12" s="107">
        <v>1</v>
      </c>
      <c r="C12" s="103" t="s">
        <v>144</v>
      </c>
      <c r="D12" s="99">
        <v>-83925</v>
      </c>
      <c r="E12" s="99">
        <v>-16784</v>
      </c>
      <c r="F12" s="99"/>
      <c r="G12" s="99"/>
      <c r="H12" s="100">
        <f>ROUND(SUM(E12+F12+G12),2)</f>
        <v>-16784</v>
      </c>
      <c r="I12" s="111">
        <f>H12/D12</f>
        <v>0.19998808459934464</v>
      </c>
      <c r="J12" s="100">
        <f>ROUND(SUM(D12-H12),2)</f>
        <v>-67141</v>
      </c>
      <c r="K12" s="100">
        <f>ROUND(SUM(H12*$K$11),2)</f>
        <v>-839.2</v>
      </c>
    </row>
    <row r="13" spans="2:243" x14ac:dyDescent="0.2">
      <c r="B13" s="108">
        <v>2</v>
      </c>
      <c r="C13" s="103" t="s">
        <v>145</v>
      </c>
      <c r="D13" s="99">
        <v>-48000</v>
      </c>
      <c r="E13" s="99">
        <v>-9600</v>
      </c>
      <c r="F13" s="99"/>
      <c r="G13" s="99"/>
      <c r="H13" s="100">
        <f t="shared" ref="H13:H36" si="0">ROUND(SUM(E13+F13+G13),2)</f>
        <v>-9600</v>
      </c>
      <c r="I13" s="111">
        <f>H13/D13</f>
        <v>0.2</v>
      </c>
      <c r="J13" s="100">
        <f t="shared" ref="J13:J36" si="1">ROUND(SUM(D13-H13),2)</f>
        <v>-38400</v>
      </c>
      <c r="K13" s="100">
        <f t="shared" ref="K13:K36" si="2">ROUND(SUM(H13*$K$11),2)</f>
        <v>-480</v>
      </c>
    </row>
    <row r="14" spans="2:243" x14ac:dyDescent="0.2">
      <c r="B14" s="108">
        <v>3</v>
      </c>
      <c r="C14" s="103" t="s">
        <v>146</v>
      </c>
      <c r="D14" s="99">
        <v>12376.5</v>
      </c>
      <c r="E14" s="99">
        <v>12376.5</v>
      </c>
      <c r="F14" s="99"/>
      <c r="G14" s="99"/>
      <c r="H14" s="100">
        <f t="shared" si="0"/>
        <v>12376.5</v>
      </c>
      <c r="I14" s="111">
        <f t="shared" ref="I14:I36" si="3">H14/D14</f>
        <v>1</v>
      </c>
      <c r="J14" s="100">
        <f t="shared" si="1"/>
        <v>0</v>
      </c>
      <c r="K14" s="100">
        <f t="shared" si="2"/>
        <v>618.83000000000004</v>
      </c>
    </row>
    <row r="15" spans="2:243" x14ac:dyDescent="0.2">
      <c r="B15" s="108">
        <v>4</v>
      </c>
      <c r="C15" s="103" t="s">
        <v>149</v>
      </c>
      <c r="D15" s="99">
        <v>5205</v>
      </c>
      <c r="E15" s="99"/>
      <c r="F15" s="99"/>
      <c r="G15" s="99"/>
      <c r="H15" s="100">
        <f t="shared" si="0"/>
        <v>0</v>
      </c>
      <c r="I15" s="111">
        <f t="shared" si="3"/>
        <v>0</v>
      </c>
      <c r="J15" s="100">
        <f t="shared" si="1"/>
        <v>5205</v>
      </c>
      <c r="K15" s="100">
        <f t="shared" si="2"/>
        <v>0</v>
      </c>
    </row>
    <row r="16" spans="2:243" x14ac:dyDescent="0.2">
      <c r="B16" s="108">
        <v>5</v>
      </c>
      <c r="C16" s="103"/>
      <c r="D16" s="99"/>
      <c r="E16" s="99"/>
      <c r="F16" s="99"/>
      <c r="G16" s="99"/>
      <c r="H16" s="100">
        <f t="shared" si="0"/>
        <v>0</v>
      </c>
      <c r="I16" s="111" t="e">
        <f t="shared" si="3"/>
        <v>#DIV/0!</v>
      </c>
      <c r="J16" s="100">
        <f t="shared" si="1"/>
        <v>0</v>
      </c>
      <c r="K16" s="100">
        <f t="shared" si="2"/>
        <v>0</v>
      </c>
    </row>
    <row r="17" spans="2:15" x14ac:dyDescent="0.2">
      <c r="B17" s="108">
        <v>6</v>
      </c>
      <c r="C17" s="103"/>
      <c r="D17" s="99"/>
      <c r="E17" s="99"/>
      <c r="F17" s="99"/>
      <c r="G17" s="99"/>
      <c r="H17" s="100">
        <f t="shared" si="0"/>
        <v>0</v>
      </c>
      <c r="I17" s="111" t="e">
        <f t="shared" si="3"/>
        <v>#DIV/0!</v>
      </c>
      <c r="J17" s="100">
        <f t="shared" si="1"/>
        <v>0</v>
      </c>
      <c r="K17" s="100">
        <f t="shared" si="2"/>
        <v>0</v>
      </c>
    </row>
    <row r="18" spans="2:15" x14ac:dyDescent="0.2">
      <c r="B18" s="108">
        <v>7</v>
      </c>
      <c r="C18" s="103"/>
      <c r="D18" s="99"/>
      <c r="E18" s="99"/>
      <c r="F18" s="99"/>
      <c r="G18" s="99"/>
      <c r="H18" s="100">
        <f t="shared" si="0"/>
        <v>0</v>
      </c>
      <c r="I18" s="111" t="e">
        <f t="shared" si="3"/>
        <v>#DIV/0!</v>
      </c>
      <c r="J18" s="100">
        <f t="shared" si="1"/>
        <v>0</v>
      </c>
      <c r="K18" s="100">
        <f t="shared" si="2"/>
        <v>0</v>
      </c>
    </row>
    <row r="19" spans="2:15" x14ac:dyDescent="0.2">
      <c r="B19" s="108">
        <v>8</v>
      </c>
      <c r="C19" s="103"/>
      <c r="D19" s="99"/>
      <c r="E19" s="99"/>
      <c r="F19" s="99"/>
      <c r="G19" s="99"/>
      <c r="H19" s="100">
        <f t="shared" si="0"/>
        <v>0</v>
      </c>
      <c r="I19" s="111" t="e">
        <f t="shared" si="3"/>
        <v>#DIV/0!</v>
      </c>
      <c r="J19" s="100">
        <f t="shared" si="1"/>
        <v>0</v>
      </c>
      <c r="K19" s="100">
        <f t="shared" si="2"/>
        <v>0</v>
      </c>
    </row>
    <row r="20" spans="2:15" x14ac:dyDescent="0.2">
      <c r="B20" s="108">
        <v>9</v>
      </c>
      <c r="C20" s="103"/>
      <c r="D20" s="99"/>
      <c r="E20" s="99"/>
      <c r="F20" s="99"/>
      <c r="G20" s="99"/>
      <c r="H20" s="100">
        <f t="shared" si="0"/>
        <v>0</v>
      </c>
      <c r="I20" s="111" t="e">
        <f t="shared" si="3"/>
        <v>#DIV/0!</v>
      </c>
      <c r="J20" s="100">
        <f t="shared" si="1"/>
        <v>0</v>
      </c>
      <c r="K20" s="100">
        <f t="shared" si="2"/>
        <v>0</v>
      </c>
      <c r="O20" s="82"/>
    </row>
    <row r="21" spans="2:15" x14ac:dyDescent="0.2">
      <c r="B21" s="108">
        <v>10</v>
      </c>
      <c r="C21" s="103"/>
      <c r="D21" s="99"/>
      <c r="E21" s="99"/>
      <c r="F21" s="99"/>
      <c r="G21" s="99"/>
      <c r="H21" s="100">
        <f t="shared" si="0"/>
        <v>0</v>
      </c>
      <c r="I21" s="111" t="e">
        <f t="shared" si="3"/>
        <v>#DIV/0!</v>
      </c>
      <c r="J21" s="100">
        <f t="shared" si="1"/>
        <v>0</v>
      </c>
      <c r="K21" s="100">
        <f t="shared" si="2"/>
        <v>0</v>
      </c>
    </row>
    <row r="22" spans="2:15" x14ac:dyDescent="0.2">
      <c r="B22" s="108">
        <v>11</v>
      </c>
      <c r="C22" s="112"/>
      <c r="D22" s="99"/>
      <c r="E22" s="99"/>
      <c r="F22" s="99"/>
      <c r="G22" s="99"/>
      <c r="H22" s="100">
        <f t="shared" si="0"/>
        <v>0</v>
      </c>
      <c r="I22" s="111" t="e">
        <f t="shared" si="3"/>
        <v>#DIV/0!</v>
      </c>
      <c r="J22" s="100">
        <f t="shared" si="1"/>
        <v>0</v>
      </c>
      <c r="K22" s="100">
        <f t="shared" si="2"/>
        <v>0</v>
      </c>
    </row>
    <row r="23" spans="2:15" x14ac:dyDescent="0.2">
      <c r="B23" s="108">
        <v>12</v>
      </c>
      <c r="C23" s="112"/>
      <c r="D23" s="99"/>
      <c r="E23" s="99"/>
      <c r="F23" s="99"/>
      <c r="G23" s="99"/>
      <c r="H23" s="100">
        <f t="shared" si="0"/>
        <v>0</v>
      </c>
      <c r="I23" s="111" t="e">
        <f t="shared" si="3"/>
        <v>#DIV/0!</v>
      </c>
      <c r="J23" s="100">
        <f t="shared" si="1"/>
        <v>0</v>
      </c>
      <c r="K23" s="100">
        <f t="shared" si="2"/>
        <v>0</v>
      </c>
    </row>
    <row r="24" spans="2:15" x14ac:dyDescent="0.2">
      <c r="B24" s="108">
        <v>13</v>
      </c>
      <c r="C24" s="112"/>
      <c r="D24" s="99"/>
      <c r="E24" s="99"/>
      <c r="F24" s="99"/>
      <c r="G24" s="99"/>
      <c r="H24" s="100">
        <f t="shared" si="0"/>
        <v>0</v>
      </c>
      <c r="I24" s="111" t="e">
        <f t="shared" si="3"/>
        <v>#DIV/0!</v>
      </c>
      <c r="J24" s="100">
        <f t="shared" si="1"/>
        <v>0</v>
      </c>
      <c r="K24" s="100">
        <f t="shared" si="2"/>
        <v>0</v>
      </c>
    </row>
    <row r="25" spans="2:15" x14ac:dyDescent="0.2">
      <c r="B25" s="108">
        <v>14</v>
      </c>
      <c r="C25" s="112"/>
      <c r="D25" s="99"/>
      <c r="E25" s="99"/>
      <c r="F25" s="99"/>
      <c r="G25" s="99"/>
      <c r="H25" s="100">
        <f t="shared" si="0"/>
        <v>0</v>
      </c>
      <c r="I25" s="111" t="e">
        <f t="shared" si="3"/>
        <v>#DIV/0!</v>
      </c>
      <c r="J25" s="100">
        <f t="shared" si="1"/>
        <v>0</v>
      </c>
      <c r="K25" s="100">
        <f t="shared" si="2"/>
        <v>0</v>
      </c>
    </row>
    <row r="26" spans="2:15" x14ac:dyDescent="0.2">
      <c r="B26" s="108">
        <v>15</v>
      </c>
      <c r="C26" s="112"/>
      <c r="D26" s="99"/>
      <c r="E26" s="99"/>
      <c r="F26" s="99"/>
      <c r="G26" s="99"/>
      <c r="H26" s="100">
        <f t="shared" si="0"/>
        <v>0</v>
      </c>
      <c r="I26" s="111" t="e">
        <f t="shared" si="3"/>
        <v>#DIV/0!</v>
      </c>
      <c r="J26" s="100">
        <f t="shared" si="1"/>
        <v>0</v>
      </c>
      <c r="K26" s="100">
        <f t="shared" si="2"/>
        <v>0</v>
      </c>
    </row>
    <row r="27" spans="2:15" x14ac:dyDescent="0.2">
      <c r="B27" s="108">
        <v>16</v>
      </c>
      <c r="C27" s="112"/>
      <c r="D27" s="99"/>
      <c r="E27" s="99"/>
      <c r="F27" s="99"/>
      <c r="G27" s="99"/>
      <c r="H27" s="100">
        <f t="shared" si="0"/>
        <v>0</v>
      </c>
      <c r="I27" s="111" t="e">
        <f t="shared" si="3"/>
        <v>#DIV/0!</v>
      </c>
      <c r="J27" s="100">
        <f t="shared" si="1"/>
        <v>0</v>
      </c>
      <c r="K27" s="100">
        <f t="shared" si="2"/>
        <v>0</v>
      </c>
    </row>
    <row r="28" spans="2:15" x14ac:dyDescent="0.2">
      <c r="B28" s="108">
        <v>17</v>
      </c>
      <c r="C28" s="112"/>
      <c r="D28" s="99"/>
      <c r="E28" s="99"/>
      <c r="F28" s="99"/>
      <c r="G28" s="99"/>
      <c r="H28" s="100">
        <f t="shared" si="0"/>
        <v>0</v>
      </c>
      <c r="I28" s="111" t="e">
        <f t="shared" si="3"/>
        <v>#DIV/0!</v>
      </c>
      <c r="J28" s="100">
        <f t="shared" si="1"/>
        <v>0</v>
      </c>
      <c r="K28" s="100">
        <f t="shared" si="2"/>
        <v>0</v>
      </c>
    </row>
    <row r="29" spans="2:15" x14ac:dyDescent="0.2">
      <c r="B29" s="108">
        <v>18</v>
      </c>
      <c r="C29" s="112"/>
      <c r="D29" s="99"/>
      <c r="E29" s="99"/>
      <c r="F29" s="99"/>
      <c r="G29" s="99"/>
      <c r="H29" s="100">
        <f t="shared" si="0"/>
        <v>0</v>
      </c>
      <c r="I29" s="111" t="e">
        <f t="shared" si="3"/>
        <v>#DIV/0!</v>
      </c>
      <c r="J29" s="100">
        <f t="shared" si="1"/>
        <v>0</v>
      </c>
      <c r="K29" s="100">
        <f t="shared" si="2"/>
        <v>0</v>
      </c>
    </row>
    <row r="30" spans="2:15" x14ac:dyDescent="0.2">
      <c r="B30" s="108">
        <v>19</v>
      </c>
      <c r="C30" s="112"/>
      <c r="D30" s="99"/>
      <c r="E30" s="99"/>
      <c r="F30" s="99"/>
      <c r="G30" s="99"/>
      <c r="H30" s="100">
        <f t="shared" si="0"/>
        <v>0</v>
      </c>
      <c r="I30" s="111" t="e">
        <f t="shared" si="3"/>
        <v>#DIV/0!</v>
      </c>
      <c r="J30" s="100">
        <f t="shared" si="1"/>
        <v>0</v>
      </c>
      <c r="K30" s="100">
        <f t="shared" si="2"/>
        <v>0</v>
      </c>
    </row>
    <row r="31" spans="2:15" x14ac:dyDescent="0.2">
      <c r="B31" s="108">
        <v>20</v>
      </c>
      <c r="C31" s="112"/>
      <c r="D31" s="99"/>
      <c r="E31" s="99"/>
      <c r="F31" s="99"/>
      <c r="G31" s="99"/>
      <c r="H31" s="100">
        <f t="shared" si="0"/>
        <v>0</v>
      </c>
      <c r="I31" s="111" t="e">
        <f t="shared" si="3"/>
        <v>#DIV/0!</v>
      </c>
      <c r="J31" s="100">
        <f t="shared" si="1"/>
        <v>0</v>
      </c>
      <c r="K31" s="100">
        <f t="shared" si="2"/>
        <v>0</v>
      </c>
    </row>
    <row r="32" spans="2:15" x14ac:dyDescent="0.2">
      <c r="B32" s="108">
        <v>21</v>
      </c>
      <c r="C32" s="112"/>
      <c r="D32" s="99"/>
      <c r="E32" s="99"/>
      <c r="F32" s="99"/>
      <c r="G32" s="99"/>
      <c r="H32" s="100">
        <f t="shared" si="0"/>
        <v>0</v>
      </c>
      <c r="I32" s="111" t="e">
        <f t="shared" si="3"/>
        <v>#DIV/0!</v>
      </c>
      <c r="J32" s="100">
        <f t="shared" si="1"/>
        <v>0</v>
      </c>
      <c r="K32" s="100">
        <f t="shared" si="2"/>
        <v>0</v>
      </c>
    </row>
    <row r="33" spans="2:11" x14ac:dyDescent="0.2">
      <c r="B33" s="108">
        <v>22</v>
      </c>
      <c r="C33" s="112"/>
      <c r="D33" s="99"/>
      <c r="E33" s="99"/>
      <c r="F33" s="99"/>
      <c r="G33" s="99"/>
      <c r="H33" s="100">
        <f t="shared" si="0"/>
        <v>0</v>
      </c>
      <c r="I33" s="111" t="e">
        <f t="shared" si="3"/>
        <v>#DIV/0!</v>
      </c>
      <c r="J33" s="100">
        <f t="shared" si="1"/>
        <v>0</v>
      </c>
      <c r="K33" s="100">
        <f t="shared" si="2"/>
        <v>0</v>
      </c>
    </row>
    <row r="34" spans="2:11" x14ac:dyDescent="0.2">
      <c r="B34" s="108">
        <v>23</v>
      </c>
      <c r="C34" s="112"/>
      <c r="D34" s="99"/>
      <c r="E34" s="99"/>
      <c r="F34" s="99"/>
      <c r="G34" s="99"/>
      <c r="H34" s="100">
        <f t="shared" si="0"/>
        <v>0</v>
      </c>
      <c r="I34" s="111" t="e">
        <f t="shared" si="3"/>
        <v>#DIV/0!</v>
      </c>
      <c r="J34" s="100">
        <f t="shared" si="1"/>
        <v>0</v>
      </c>
      <c r="K34" s="100">
        <f t="shared" si="2"/>
        <v>0</v>
      </c>
    </row>
    <row r="35" spans="2:11" x14ac:dyDescent="0.2">
      <c r="B35" s="108">
        <v>24</v>
      </c>
      <c r="C35" s="112"/>
      <c r="D35" s="99"/>
      <c r="E35" s="99"/>
      <c r="F35" s="99"/>
      <c r="G35" s="99"/>
      <c r="H35" s="100">
        <f t="shared" si="0"/>
        <v>0</v>
      </c>
      <c r="I35" s="111" t="e">
        <f t="shared" si="3"/>
        <v>#DIV/0!</v>
      </c>
      <c r="J35" s="100">
        <f t="shared" si="1"/>
        <v>0</v>
      </c>
      <c r="K35" s="100">
        <f t="shared" si="2"/>
        <v>0</v>
      </c>
    </row>
    <row r="36" spans="2:11" x14ac:dyDescent="0.2">
      <c r="B36" s="109">
        <v>25</v>
      </c>
      <c r="C36" s="112"/>
      <c r="D36" s="99"/>
      <c r="E36" s="99"/>
      <c r="F36" s="99"/>
      <c r="G36" s="99"/>
      <c r="H36" s="100">
        <f t="shared" si="0"/>
        <v>0</v>
      </c>
      <c r="I36" s="111" t="e">
        <f t="shared" si="3"/>
        <v>#DIV/0!</v>
      </c>
      <c r="J36" s="100">
        <f t="shared" si="1"/>
        <v>0</v>
      </c>
      <c r="K36" s="100">
        <f t="shared" si="2"/>
        <v>0</v>
      </c>
    </row>
    <row r="37" spans="2:11" x14ac:dyDescent="0.2">
      <c r="B37" s="94"/>
      <c r="C37" s="113" t="s">
        <v>121</v>
      </c>
      <c r="D37" s="114">
        <f>ROUND(SUM(D12:D36),2)</f>
        <v>-114343.5</v>
      </c>
      <c r="E37" s="114">
        <f>ROUND(SUM(E12:E36),2)</f>
        <v>-14007.5</v>
      </c>
      <c r="F37" s="114">
        <f>ROUND(SUM(F12:F36),2)</f>
        <v>0</v>
      </c>
      <c r="G37" s="114">
        <f>ROUND(SUM(G12:G36),2)</f>
        <v>0</v>
      </c>
      <c r="H37" s="114">
        <f>ROUND(SUM(H12:H36),2)</f>
        <v>-14007.5</v>
      </c>
      <c r="I37" s="116">
        <f>H37/D37</f>
        <v>0.12250368407473972</v>
      </c>
      <c r="J37" s="114">
        <f>ROUND(SUM(J12:J36),2)</f>
        <v>-100336</v>
      </c>
      <c r="K37" s="114">
        <f>ROUND(SUM(K12:K36),2)</f>
        <v>-700.37</v>
      </c>
    </row>
    <row r="38" spans="2:11" ht="12.75" customHeight="1" x14ac:dyDescent="0.2">
      <c r="B38" s="78"/>
      <c r="C38" s="43"/>
      <c r="D38" s="38"/>
      <c r="E38" s="38"/>
      <c r="F38" s="38"/>
      <c r="G38" s="38"/>
      <c r="I38" s="39"/>
    </row>
    <row r="39" spans="2:11" ht="13.5" thickBot="1" x14ac:dyDescent="0.25">
      <c r="B39" s="79"/>
      <c r="I39" s="39"/>
    </row>
    <row r="40" spans="2:11" x14ac:dyDescent="0.2">
      <c r="B40" s="123"/>
      <c r="C40" s="155" t="s">
        <v>148</v>
      </c>
      <c r="D40" s="156"/>
      <c r="E40" s="156"/>
      <c r="F40" s="156"/>
      <c r="G40" s="156"/>
      <c r="H40" s="156"/>
      <c r="I40" s="156"/>
      <c r="J40" s="156"/>
      <c r="K40" s="157"/>
    </row>
    <row r="41" spans="2:11" ht="13.5" thickBot="1" x14ac:dyDescent="0.25">
      <c r="B41" s="124"/>
      <c r="C41" s="125" t="s">
        <v>148</v>
      </c>
      <c r="D41" s="126">
        <f>SUM(D37+'G703'!D29)</f>
        <v>1523656.5</v>
      </c>
      <c r="E41" s="126">
        <f>SUM(E37+'G703'!E29)</f>
        <v>1315104.5</v>
      </c>
      <c r="F41" s="126">
        <f>SUM(F37+'G703'!F29)</f>
        <v>65520</v>
      </c>
      <c r="G41" s="126">
        <f>SUM(G37+'G703'!G29)</f>
        <v>0</v>
      </c>
      <c r="H41" s="126">
        <f>SUM(H37+'G703'!H29)</f>
        <v>1380624.5</v>
      </c>
      <c r="I41" s="127">
        <f t="shared" ref="I41" si="4">H41/D41</f>
        <v>0.90612582297912947</v>
      </c>
      <c r="J41" s="126">
        <f>SUM(J37+'G703'!J29)</f>
        <v>143032</v>
      </c>
      <c r="K41" s="126">
        <f>SUM(K37+'G703'!K29)</f>
        <v>69031.23000000001</v>
      </c>
    </row>
    <row r="42" spans="2:11" x14ac:dyDescent="0.2">
      <c r="E42" s="77"/>
    </row>
  </sheetData>
  <mergeCells count="3">
    <mergeCell ref="D8:D11"/>
    <mergeCell ref="C8:C11"/>
    <mergeCell ref="C40:K40"/>
  </mergeCells>
  <printOptions horizontalCentered="1" gridLinesSet="0"/>
  <pageMargins left="0.25" right="0.25" top="0.75" bottom="0.75" header="0.3" footer="0.3"/>
  <pageSetup scale="95" orientation="landscape" horizontalDpi="4294967292" verticalDpi="4294967292" r:id="rId1"/>
  <headerFooter alignWithMargins="0">
    <oddHeader xml:space="preserve">&amp;R&amp;P of &amp;N     </oddHeader>
    <oddFooter>&amp;L&amp;"Arial,Regular"&amp;6AIA DOCUMENT G703 · CONTINUATION SHEET FOR G702 · 1992 EDITION · AIA · ©1992
THE AMERICAN INSTITUTE OF ARCHITECTS, 1735 NEW YORK AVENUE, N.W. WASHINGTON, D.C.  20006-5232&amp;R&amp;"Arial,Bold"&amp;8G703-1992</oddFooter>
  </headerFooter>
  <ignoredErrors>
    <ignoredError sqref="H37:J3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7D85A76772664AA6E1B6FF972F6E5B" ma:contentTypeVersion="12" ma:contentTypeDescription="Create a new document." ma:contentTypeScope="" ma:versionID="abf4ca18590eadc6b015e1733eab9aae">
  <xsd:schema xmlns:xsd="http://www.w3.org/2001/XMLSchema" xmlns:xs="http://www.w3.org/2001/XMLSchema" xmlns:p="http://schemas.microsoft.com/office/2006/metadata/properties" xmlns:ns2="b8996565-258e-4e09-b27f-c843856e2141" xmlns:ns3="c4d4e990-ed19-46ac-8218-1f4a4a062d94" targetNamespace="http://schemas.microsoft.com/office/2006/metadata/properties" ma:root="true" ma:fieldsID="fc267113e702ee14ec1e101d1f2bfb75" ns2:_="" ns3:_="">
    <xsd:import namespace="b8996565-258e-4e09-b27f-c843856e2141"/>
    <xsd:import namespace="c4d4e990-ed19-46ac-8218-1f4a4a062d9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96565-258e-4e09-b27f-c843856e214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4e990-ed19-46ac-8218-1f4a4a062d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231A08-6334-4E86-8ACC-A9DD4EB50B3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8996565-258e-4e09-b27f-c843856e2141"/>
    <ds:schemaRef ds:uri="c4d4e990-ed19-46ac-8218-1f4a4a062d9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1F7705-A4B6-4D2E-8996-BEEB101F9C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1B2ED1-CF67-4A94-A5BC-750387FBEEB2}">
  <ds:schemaRefs>
    <ds:schemaRef ds:uri="http://schemas.microsoft.com/office/2006/documentManagement/types"/>
    <ds:schemaRef ds:uri="http://purl.org/dc/terms/"/>
    <ds:schemaRef ds:uri="c4d4e990-ed19-46ac-8218-1f4a4a062d94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8996565-258e-4e09-b27f-c843856e214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</vt:i4>
      </vt:variant>
    </vt:vector>
  </HeadingPairs>
  <TitlesOfParts>
    <vt:vector size="14" baseType="lpstr">
      <vt:lpstr>G702</vt:lpstr>
      <vt:lpstr>G703</vt:lpstr>
      <vt:lpstr>CO 703</vt:lpstr>
      <vt:lpstr>'CO 703'!Print_Area</vt:lpstr>
      <vt:lpstr>'G702'!Print_Area</vt:lpstr>
      <vt:lpstr>'G703'!Print_Area</vt:lpstr>
      <vt:lpstr>'CO 703'!Print_Area_MI</vt:lpstr>
      <vt:lpstr>'G703'!Print_Area_MI</vt:lpstr>
      <vt:lpstr>Print_Area_MI</vt:lpstr>
      <vt:lpstr>'CO 703'!Print_Titles</vt:lpstr>
      <vt:lpstr>'G703'!Print_Titles</vt:lpstr>
      <vt:lpstr>'CO 703'!Print_Titles_MI</vt:lpstr>
      <vt:lpstr>'G703'!Print_Titles_MI</vt:lpstr>
      <vt:lpstr>Print_Titles_MI</vt:lpstr>
    </vt:vector>
  </TitlesOfParts>
  <Manager/>
  <Company>United Dominion Realty Trust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United Dominion Realty Trust</dc:creator>
  <cp:keywords/>
  <dc:description/>
  <cp:lastModifiedBy>Lisa</cp:lastModifiedBy>
  <cp:revision/>
  <cp:lastPrinted>2023-03-15T23:16:19Z</cp:lastPrinted>
  <dcterms:created xsi:type="dcterms:W3CDTF">2000-06-05T18:39:37Z</dcterms:created>
  <dcterms:modified xsi:type="dcterms:W3CDTF">2023-03-15T23:16:28Z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0x010100BD7D85A76772664AA6E1B6FF972F6E5B</vt:lpwstr>
  </property>
  <property fmtid="{D5CDD505-2E9C-101B-9397-08002B2CF9AE}" pid="3" name="_dlc_DocIdItemGuid">
    <vt:lpwstr>2b7d22b3-67a3-40ef-9222-8dfe057c0259</vt:lpwstr>
  </property>
</Properties>
</file>