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st To Complete" sheetId="1" r:id="rId4"/>
    <sheet state="visible" name="Continuation Sheet" sheetId="2" r:id="rId5"/>
    <sheet state="visible" name="Future Costs" sheetId="3" r:id="rId6"/>
  </sheets>
  <definedNames/>
  <calcPr/>
  <extLst>
    <ext uri="GoogleSheetsCustomDataVersion2">
      <go:sheetsCustomData xmlns:go="http://customooxmlschemas.google.com/" r:id="rId7" roundtripDataChecksum="KA4USNf10BrVYNfao0d9z1cd3gHmLM2MmY61WzqBE3w="/>
    </ext>
  </extLst>
</workbook>
</file>

<file path=xl/sharedStrings.xml><?xml version="1.0" encoding="utf-8"?>
<sst xmlns="http://schemas.openxmlformats.org/spreadsheetml/2006/main" count="540" uniqueCount="247">
  <si>
    <t xml:space="preserve"> </t>
  </si>
  <si>
    <t>Hunter's Landing Continuation Sheet</t>
  </si>
  <si>
    <t>Rich Development</t>
  </si>
  <si>
    <t>Scheduled Value</t>
  </si>
  <si>
    <t>Item #</t>
  </si>
  <si>
    <t>#</t>
  </si>
  <si>
    <t>DESCRIPTION OF WORK</t>
  </si>
  <si>
    <t>Change Orders/Reallocation</t>
  </si>
  <si>
    <t>Total</t>
  </si>
  <si>
    <t>Amount Paid to Date</t>
  </si>
  <si>
    <t>Retention held to Date</t>
  </si>
  <si>
    <t>Contract cost to complete including retention</t>
  </si>
  <si>
    <t>Change Order cost to complete including retention</t>
  </si>
  <si>
    <t>TOTAL COST TO COMPLETE</t>
  </si>
  <si>
    <t>DIFFERENCE BETWEEN SCHEDULED VALUE AND COST TO COMPLETE</t>
  </si>
  <si>
    <t>NOTES</t>
  </si>
  <si>
    <t>001</t>
  </si>
  <si>
    <t>EXCAVATION/SITE</t>
  </si>
  <si>
    <t>Survey</t>
  </si>
  <si>
    <t>Fencing &amp; Pond surveys</t>
  </si>
  <si>
    <t>002</t>
  </si>
  <si>
    <t>Excavation</t>
  </si>
  <si>
    <t>003</t>
  </si>
  <si>
    <t>Concrete</t>
  </si>
  <si>
    <t>004</t>
  </si>
  <si>
    <t>12th UDOT</t>
  </si>
  <si>
    <t>005</t>
  </si>
  <si>
    <t>All Fencing</t>
  </si>
  <si>
    <t>006</t>
  </si>
  <si>
    <t>Track out Pad entire building</t>
  </si>
  <si>
    <t>007</t>
  </si>
  <si>
    <t>FRAME/ROOF</t>
  </si>
  <si>
    <t>Turnkey Frame/Garage</t>
  </si>
  <si>
    <t>008</t>
  </si>
  <si>
    <t>Garage Roof</t>
  </si>
  <si>
    <t>009</t>
  </si>
  <si>
    <t>Roofing L&amp;M</t>
  </si>
  <si>
    <t>010</t>
  </si>
  <si>
    <t>Deck Coatings</t>
  </si>
  <si>
    <t>Decks lvl 2-5 done, Urbane needs to bill the rest of their contract amount, My Roof has a bill for the rest of the amentities deck change order</t>
  </si>
  <si>
    <t>011</t>
  </si>
  <si>
    <t>Structural Steel-Parking</t>
  </si>
  <si>
    <t>012</t>
  </si>
  <si>
    <t>All other Steel Features</t>
  </si>
  <si>
    <t>013</t>
  </si>
  <si>
    <t>Garage Door For Trash</t>
  </si>
  <si>
    <t>014</t>
  </si>
  <si>
    <t>Store Front Labor</t>
  </si>
  <si>
    <t>015</t>
  </si>
  <si>
    <t>Elevator</t>
  </si>
  <si>
    <t>016</t>
  </si>
  <si>
    <t>HM Door Labor</t>
  </si>
  <si>
    <t>017</t>
  </si>
  <si>
    <t>MEP TRADES</t>
  </si>
  <si>
    <t>Plumbing</t>
  </si>
  <si>
    <t>018</t>
  </si>
  <si>
    <t>HVAC</t>
  </si>
  <si>
    <t>019</t>
  </si>
  <si>
    <t>Electric</t>
  </si>
  <si>
    <t>020</t>
  </si>
  <si>
    <t>3 Electric Car Station</t>
  </si>
  <si>
    <t>021</t>
  </si>
  <si>
    <t>Sprinkler System</t>
  </si>
  <si>
    <t>022</t>
  </si>
  <si>
    <t>Fire Caulk</t>
  </si>
  <si>
    <t>023</t>
  </si>
  <si>
    <t>FINISHES</t>
  </si>
  <si>
    <t>Gypcrete</t>
  </si>
  <si>
    <t>024</t>
  </si>
  <si>
    <t>Insulation</t>
  </si>
  <si>
    <t>025</t>
  </si>
  <si>
    <t>Sheetrock</t>
  </si>
  <si>
    <t>Cabinets/Countertops were taken out of this category because there was no category funded for them</t>
  </si>
  <si>
    <t>026</t>
  </si>
  <si>
    <t>Finish Materials Misc</t>
  </si>
  <si>
    <t>027</t>
  </si>
  <si>
    <t>Finish Labor</t>
  </si>
  <si>
    <t>028</t>
  </si>
  <si>
    <t>Interior Paint</t>
  </si>
  <si>
    <t>029</t>
  </si>
  <si>
    <t>Equipment Cabinets</t>
  </si>
  <si>
    <t>030</t>
  </si>
  <si>
    <t>Garage Doors</t>
  </si>
  <si>
    <t>031</t>
  </si>
  <si>
    <t>Floor Prep</t>
  </si>
  <si>
    <t>032</t>
  </si>
  <si>
    <t>Hardware &amp; Install Labor</t>
  </si>
  <si>
    <t>033</t>
  </si>
  <si>
    <t>Fire Extinguishers</t>
  </si>
  <si>
    <t>034</t>
  </si>
  <si>
    <t>Mirrors</t>
  </si>
  <si>
    <t>035</t>
  </si>
  <si>
    <t>Flooring,Wall Tile M&amp;L</t>
  </si>
  <si>
    <t>036</t>
  </si>
  <si>
    <t>EXTERIORS &amp; MISC</t>
  </si>
  <si>
    <t>Brick</t>
  </si>
  <si>
    <t>037</t>
  </si>
  <si>
    <t>Stucco EFIS,Soffit,Fascia</t>
  </si>
  <si>
    <t>038</t>
  </si>
  <si>
    <t>Gutter</t>
  </si>
  <si>
    <t>039</t>
  </si>
  <si>
    <t>Plaster Foundation</t>
  </si>
  <si>
    <t>040</t>
  </si>
  <si>
    <t>Roof Hatch</t>
  </si>
  <si>
    <t>041</t>
  </si>
  <si>
    <t>Trash Chute</t>
  </si>
  <si>
    <t>042</t>
  </si>
  <si>
    <t>Pool</t>
  </si>
  <si>
    <t>043</t>
  </si>
  <si>
    <t>Knox box &amp; Fire Lids</t>
  </si>
  <si>
    <t>044</t>
  </si>
  <si>
    <t>ALLOWANCES</t>
  </si>
  <si>
    <t>Landscape</t>
  </si>
  <si>
    <t>045</t>
  </si>
  <si>
    <t>Appliances</t>
  </si>
  <si>
    <t>046</t>
  </si>
  <si>
    <t>Signage</t>
  </si>
  <si>
    <t>Owner provided sign? CO?</t>
  </si>
  <si>
    <t>047</t>
  </si>
  <si>
    <t>All Amenities</t>
  </si>
  <si>
    <t>048</t>
  </si>
  <si>
    <t>Garden Shed &amp; Pad</t>
  </si>
  <si>
    <t>Allowance &amp; Owner provided. Need to find exact cost</t>
  </si>
  <si>
    <t>049</t>
  </si>
  <si>
    <t>Blinds</t>
  </si>
  <si>
    <t>050</t>
  </si>
  <si>
    <t>GENERAL</t>
  </si>
  <si>
    <t>Contingency</t>
  </si>
  <si>
    <t>051</t>
  </si>
  <si>
    <t>Equipment</t>
  </si>
  <si>
    <t>052</t>
  </si>
  <si>
    <t>Honey Bucket</t>
  </si>
  <si>
    <t>053</t>
  </si>
  <si>
    <t>Dumpster</t>
  </si>
  <si>
    <t>054</t>
  </si>
  <si>
    <t>Temp Fence</t>
  </si>
  <si>
    <t>055</t>
  </si>
  <si>
    <t>Clean-up Labor</t>
  </si>
  <si>
    <t>056</t>
  </si>
  <si>
    <t>Final Clean</t>
  </si>
  <si>
    <t>057</t>
  </si>
  <si>
    <t>Street Sweeping</t>
  </si>
  <si>
    <t>058</t>
  </si>
  <si>
    <t>Conc Wash Out</t>
  </si>
  <si>
    <t>059</t>
  </si>
  <si>
    <t>SWPPP/split w/cu inspections</t>
  </si>
  <si>
    <t>060</t>
  </si>
  <si>
    <t>Temp Power</t>
  </si>
  <si>
    <t>061</t>
  </si>
  <si>
    <t>Office Trailer</t>
  </si>
  <si>
    <t>062</t>
  </si>
  <si>
    <t>Security Cameras</t>
  </si>
  <si>
    <t>Do we need a change order for the building security system?</t>
  </si>
  <si>
    <t>063</t>
  </si>
  <si>
    <t>Special Inspections</t>
  </si>
  <si>
    <t>064</t>
  </si>
  <si>
    <t>Saftey</t>
  </si>
  <si>
    <t>065</t>
  </si>
  <si>
    <t>General Conditions</t>
  </si>
  <si>
    <t>066</t>
  </si>
  <si>
    <t>Insurance Not Builders</t>
  </si>
  <si>
    <t>067</t>
  </si>
  <si>
    <t>Site Supervision</t>
  </si>
  <si>
    <t>068</t>
  </si>
  <si>
    <t>Construction Profit</t>
  </si>
  <si>
    <t>069</t>
  </si>
  <si>
    <t>Exterior Wall Project</t>
  </si>
  <si>
    <t>TOTALS</t>
  </si>
  <si>
    <t>Retainage</t>
  </si>
  <si>
    <t>COST TO COMPLETE</t>
  </si>
  <si>
    <t>Draw 20</t>
  </si>
  <si>
    <t>Draw 21</t>
  </si>
  <si>
    <t>Draw 22</t>
  </si>
  <si>
    <t>Draw 23</t>
  </si>
  <si>
    <t>Draw 24</t>
  </si>
  <si>
    <t>Draw 25</t>
  </si>
  <si>
    <t>Draw 26</t>
  </si>
  <si>
    <t>Draw 27</t>
  </si>
  <si>
    <t>TOTAL COMPLETED AND STORED TO DATE</t>
  </si>
  <si>
    <t>Percent Complete</t>
  </si>
  <si>
    <t>BALANCE TO FINISH</t>
  </si>
  <si>
    <t xml:space="preserve">
Value 
5%
</t>
  </si>
  <si>
    <t>Contract Amount</t>
  </si>
  <si>
    <t>Retention</t>
  </si>
  <si>
    <t>CO Amount for cost to complete</t>
  </si>
  <si>
    <t>Project CO</t>
  </si>
  <si>
    <t>CO #</t>
  </si>
  <si>
    <t>Amenities Deck</t>
  </si>
  <si>
    <t>Needs to match</t>
  </si>
  <si>
    <t>Door rebuild</t>
  </si>
  <si>
    <t>Difference between budget &amp; contract amount</t>
  </si>
  <si>
    <t>SCS</t>
  </si>
  <si>
    <t>Plumbing fixes</t>
  </si>
  <si>
    <t>1st MTG IR</t>
  </si>
  <si>
    <t>2nd MTG IR</t>
  </si>
  <si>
    <t>Inspections</t>
  </si>
  <si>
    <t>Cash</t>
  </si>
  <si>
    <t>Loan</t>
  </si>
  <si>
    <t>Original Contract Sum</t>
  </si>
  <si>
    <t>TOTAL</t>
  </si>
  <si>
    <t>Net change by approved change orders</t>
  </si>
  <si>
    <t>Contract sum to date</t>
  </si>
  <si>
    <t>GRAND TOTAL</t>
  </si>
  <si>
    <t>Total completed and stored to date</t>
  </si>
  <si>
    <t>Total earned less retainage</t>
  </si>
  <si>
    <t>Less previous certificates for payment</t>
  </si>
  <si>
    <t>Current Payment Due</t>
  </si>
  <si>
    <t>Balance to finish with retainage</t>
  </si>
  <si>
    <t xml:space="preserve">Subs </t>
  </si>
  <si>
    <t xml:space="preserve">Fortified </t>
  </si>
  <si>
    <t>Corbin</t>
  </si>
  <si>
    <t>Ignore first CO</t>
  </si>
  <si>
    <t>Fox and Hound</t>
  </si>
  <si>
    <t>Will cost a bit more</t>
  </si>
  <si>
    <t>Landscaping</t>
  </si>
  <si>
    <t>Go with contract amount</t>
  </si>
  <si>
    <t>TK</t>
  </si>
  <si>
    <t>Look into rubber base</t>
  </si>
  <si>
    <t>Poulson</t>
  </si>
  <si>
    <t>Cleaners</t>
  </si>
  <si>
    <t>Add paint bills into cost &amp; do a deduct on fox &amp; hound</t>
  </si>
  <si>
    <t>PPC</t>
  </si>
  <si>
    <t>My Roof</t>
  </si>
  <si>
    <t>Lara and Sons</t>
  </si>
  <si>
    <t>Korey</t>
  </si>
  <si>
    <t xml:space="preserve">Sunrise Elite </t>
  </si>
  <si>
    <t>Douggie Fresh</t>
  </si>
  <si>
    <t xml:space="preserve">Select Specialties </t>
  </si>
  <si>
    <t>Toilets</t>
  </si>
  <si>
    <t>Dumpsters</t>
  </si>
  <si>
    <t>Shed</t>
  </si>
  <si>
    <t>Lock up at night security</t>
  </si>
  <si>
    <t>Equipment For cabients</t>
  </si>
  <si>
    <t>Exterior Building Sign</t>
  </si>
  <si>
    <t>Canopies</t>
  </si>
  <si>
    <t>Foundation Plaster?</t>
  </si>
  <si>
    <t>Shower Solutions</t>
  </si>
  <si>
    <t>Parking lot signs</t>
  </si>
  <si>
    <t>street sweeping</t>
  </si>
  <si>
    <t>Finish labor</t>
  </si>
  <si>
    <t>TST</t>
  </si>
  <si>
    <t>Storefront Fixes</t>
  </si>
  <si>
    <t>Bronco Fence</t>
  </si>
  <si>
    <t>Urbane</t>
  </si>
  <si>
    <t>Dixon Security</t>
  </si>
  <si>
    <t>TK Elevator Storage</t>
  </si>
  <si>
    <t>Abrams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</si>
</sst>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&quot;$&quot;* #,##0.00_);_(&quot;$&quot;* \(#,##0.00\);_(&quot;$&quot;* &quot;-&quot;??_);_(@_)"/>
    <numFmt numFmtId="165" formatCode="&quot;$&quot;#,##0.00"/>
    <numFmt numFmtId="166" formatCode="&quot;$&quot;#,##0.00_);[Red]\(&quot;$&quot;#,##0.00\)"/>
  </numFmts>
  <fonts count="13">
    <font>
      <sz val="10.0"/>
      <color rgb="FF000000"/>
      <name val="Arial"/>
      <scheme val="minor"/>
    </font>
    <font>
      <sz val="10.0"/>
      <color theme="1"/>
      <name val="Arial"/>
    </font>
    <font>
      <sz val="24.0"/>
      <color theme="1"/>
      <name val="Times New Roman"/>
    </font>
    <font>
      <b/>
      <sz val="10.0"/>
      <color theme="1"/>
      <name val="Arial"/>
    </font>
    <font/>
    <font>
      <b/>
      <sz val="11.0"/>
      <color theme="1"/>
      <name val="Calibri"/>
    </font>
    <font>
      <b/>
      <sz val="8.0"/>
      <color theme="1"/>
      <name val="Arial"/>
    </font>
    <font>
      <color rgb="FF000000"/>
      <name val="Arial"/>
    </font>
    <font>
      <b/>
      <sz val="16.0"/>
      <color theme="1"/>
      <name val="Arial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D9E2F3"/>
        <bgColor rgb="FFD9E2F3"/>
      </patternFill>
    </fill>
    <fill>
      <patternFill patternType="solid">
        <fgColor rgb="FFC9DAF8"/>
        <bgColor rgb="FFC9DAF8"/>
      </patternFill>
    </fill>
    <fill>
      <patternFill patternType="solid">
        <fgColor rgb="FFECECEC"/>
        <bgColor rgb="FFECECEC"/>
      </patternFill>
    </fill>
    <fill>
      <patternFill patternType="solid">
        <fgColor rgb="FFF3F3F3"/>
        <bgColor rgb="FFF3F3F3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35">
    <border/>
    <border>
      <left style="thin">
        <color rgb="FF000000"/>
      </left>
      <top style="thin">
        <color rgb="FF000000"/>
      </top>
      <bottom/>
    </border>
    <border>
      <left/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/>
      <bottom/>
    </border>
    <border>
      <left/>
    </border>
    <border>
      <right style="thin">
        <color rgb="FF000000"/>
      </right>
    </border>
    <border>
      <left/>
      <bottom/>
    </border>
    <border>
      <bottom/>
    </border>
    <border>
      <left style="thin">
        <color rgb="FF000000"/>
      </left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</border>
    <border>
      <left/>
      <top/>
    </border>
    <border>
      <right style="thin">
        <color rgb="FF000000"/>
      </right>
      <top/>
    </border>
    <border>
      <left/>
      <right style="medium">
        <color rgb="FF000000"/>
      </right>
      <top/>
    </border>
    <border>
      <lef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medium">
        <color rgb="FF000000"/>
      </right>
      <bottom style="thin">
        <color rgb="FF000000"/>
      </bottom>
    </border>
    <border>
      <left/>
      <right/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</border>
    <border>
      <right style="thin">
        <color rgb="FF000000"/>
      </right>
      <bottom/>
    </border>
    <border>
      <left style="medium">
        <color rgb="FF000000"/>
      </lef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1" fillId="2" fontId="1" numFmtId="0" xfId="0" applyBorder="1" applyFill="1" applyFont="1"/>
    <xf borderId="2" fillId="3" fontId="2" numFmtId="49" xfId="0" applyAlignment="1" applyBorder="1" applyFill="1" applyFont="1" applyNumberFormat="1">
      <alignment horizontal="center"/>
    </xf>
    <xf borderId="3" fillId="3" fontId="2" numFmtId="49" xfId="0" applyAlignment="1" applyBorder="1" applyFont="1" applyNumberFormat="1">
      <alignment horizontal="center"/>
    </xf>
    <xf borderId="4" fillId="3" fontId="2" numFmtId="49" xfId="0" applyAlignment="1" applyBorder="1" applyFont="1" applyNumberFormat="1">
      <alignment horizontal="center"/>
    </xf>
    <xf borderId="5" fillId="2" fontId="1" numFmtId="0" xfId="0" applyBorder="1" applyFont="1"/>
    <xf borderId="6" fillId="3" fontId="2" numFmtId="49" xfId="0" applyAlignment="1" applyBorder="1" applyFont="1" applyNumberFormat="1">
      <alignment horizontal="center"/>
    </xf>
    <xf borderId="0" fillId="3" fontId="2" numFmtId="49" xfId="0" applyAlignment="1" applyFont="1" applyNumberFormat="1">
      <alignment horizontal="center"/>
    </xf>
    <xf borderId="7" fillId="3" fontId="2" numFmtId="49" xfId="0" applyAlignment="1" applyBorder="1" applyFont="1" applyNumberFormat="1">
      <alignment horizontal="center"/>
    </xf>
    <xf borderId="8" fillId="3" fontId="2" numFmtId="49" xfId="0" applyAlignment="1" applyBorder="1" applyFont="1" applyNumberFormat="1">
      <alignment horizontal="center"/>
    </xf>
    <xf borderId="9" fillId="3" fontId="2" numFmtId="49" xfId="0" applyAlignment="1" applyBorder="1" applyFont="1" applyNumberFormat="1">
      <alignment horizontal="center"/>
    </xf>
    <xf borderId="10" fillId="2" fontId="1" numFmtId="0" xfId="0" applyBorder="1" applyFont="1"/>
    <xf borderId="11" fillId="3" fontId="1" numFmtId="49" xfId="0" applyBorder="1" applyFont="1" applyNumberFormat="1"/>
    <xf borderId="12" fillId="3" fontId="1" numFmtId="49" xfId="0" applyBorder="1" applyFont="1" applyNumberFormat="1"/>
    <xf borderId="13" fillId="3" fontId="1" numFmtId="49" xfId="0" applyBorder="1" applyFont="1" applyNumberFormat="1"/>
    <xf borderId="14" fillId="4" fontId="3" numFmtId="0" xfId="0" applyAlignment="1" applyBorder="1" applyFill="1" applyFont="1">
      <alignment horizontal="center"/>
    </xf>
    <xf borderId="15" fillId="0" fontId="4" numFmtId="0" xfId="0" applyBorder="1" applyFont="1"/>
    <xf borderId="16" fillId="0" fontId="4" numFmtId="0" xfId="0" applyBorder="1" applyFont="1"/>
    <xf borderId="17" fillId="3" fontId="1" numFmtId="0" xfId="0" applyBorder="1" applyFont="1"/>
    <xf borderId="7" fillId="0" fontId="1" numFmtId="0" xfId="0" applyBorder="1" applyFont="1"/>
    <xf borderId="18" fillId="5" fontId="1" numFmtId="49" xfId="0" applyBorder="1" applyFill="1" applyFont="1" applyNumberFormat="1"/>
    <xf borderId="19" fillId="5" fontId="1" numFmtId="49" xfId="0" applyBorder="1" applyFont="1" applyNumberFormat="1"/>
    <xf borderId="6" fillId="5" fontId="1" numFmtId="0" xfId="0" applyBorder="1" applyFont="1"/>
    <xf borderId="7" fillId="0" fontId="4" numFmtId="0" xfId="0" applyBorder="1" applyFont="1"/>
    <xf borderId="20" fillId="5" fontId="3" numFmtId="0" xfId="0" applyAlignment="1" applyBorder="1" applyFont="1">
      <alignment horizontal="center"/>
    </xf>
    <xf borderId="19" fillId="5" fontId="3" numFmtId="0" xfId="0" applyAlignment="1" applyBorder="1" applyFont="1">
      <alignment horizontal="center"/>
    </xf>
    <xf borderId="18" fillId="6" fontId="5" numFmtId="14" xfId="0" applyAlignment="1" applyBorder="1" applyFill="1" applyFont="1" applyNumberFormat="1">
      <alignment horizontal="center"/>
    </xf>
    <xf borderId="18" fillId="3" fontId="5" numFmtId="14" xfId="0" applyAlignment="1" applyBorder="1" applyFont="1" applyNumberFormat="1">
      <alignment horizontal="center"/>
    </xf>
    <xf borderId="18" fillId="5" fontId="1" numFmtId="0" xfId="0" applyBorder="1" applyFont="1"/>
    <xf borderId="21" fillId="5" fontId="1" numFmtId="49" xfId="0" applyAlignment="1" applyBorder="1" applyFont="1" applyNumberFormat="1">
      <alignment horizontal="center"/>
    </xf>
    <xf borderId="22" fillId="5" fontId="1" numFmtId="49" xfId="0" applyAlignment="1" applyBorder="1" applyFont="1" applyNumberFormat="1">
      <alignment horizontal="center"/>
    </xf>
    <xf borderId="22" fillId="5" fontId="3" numFmtId="0" xfId="0" applyAlignment="1" applyBorder="1" applyFont="1">
      <alignment horizontal="center"/>
    </xf>
    <xf borderId="23" fillId="5" fontId="3" numFmtId="0" xfId="0" applyAlignment="1" applyBorder="1" applyFont="1">
      <alignment horizontal="center"/>
    </xf>
    <xf borderId="23" fillId="5" fontId="3" numFmtId="0" xfId="0" applyAlignment="1" applyBorder="1" applyFont="1">
      <alignment horizontal="center" shrinkToFit="0" wrapText="1"/>
    </xf>
    <xf borderId="21" fillId="5" fontId="3" numFmtId="0" xfId="0" applyAlignment="1" applyBorder="1" applyFont="1">
      <alignment horizontal="center" shrinkToFit="0" wrapText="1"/>
    </xf>
    <xf borderId="24" fillId="5" fontId="3" numFmtId="0" xfId="0" applyAlignment="1" applyBorder="1" applyFont="1">
      <alignment horizontal="center" shrinkToFit="0" wrapText="1"/>
    </xf>
    <xf borderId="21" fillId="5" fontId="3" numFmtId="0" xfId="0" applyAlignment="1" applyBorder="1" applyFont="1">
      <alignment horizontal="center" readingOrder="0"/>
    </xf>
    <xf borderId="21" fillId="7" fontId="3" numFmtId="0" xfId="0" applyAlignment="1" applyBorder="1" applyFill="1" applyFont="1">
      <alignment horizontal="center" readingOrder="0"/>
    </xf>
    <xf borderId="21" fillId="5" fontId="3" numFmtId="0" xfId="0" applyAlignment="1" applyBorder="1" applyFont="1">
      <alignment horizontal="center" readingOrder="0" shrinkToFit="0" wrapText="1"/>
    </xf>
    <xf borderId="21" fillId="7" fontId="3" numFmtId="0" xfId="0" applyAlignment="1" applyBorder="1" applyFont="1">
      <alignment horizontal="center" readingOrder="0" shrinkToFit="0" wrapText="1"/>
    </xf>
    <xf borderId="21" fillId="5" fontId="6" numFmtId="0" xfId="0" applyAlignment="1" applyBorder="1" applyFont="1">
      <alignment horizontal="center" readingOrder="0" shrinkToFit="0" wrapText="1"/>
    </xf>
    <xf borderId="19" fillId="0" fontId="4" numFmtId="0" xfId="0" applyBorder="1" applyFont="1"/>
    <xf borderId="25" fillId="0" fontId="4" numFmtId="0" xfId="0" applyBorder="1" applyFont="1"/>
    <xf borderId="25" fillId="5" fontId="3" numFmtId="0" xfId="0" applyAlignment="1" applyBorder="1" applyFont="1">
      <alignment horizontal="center"/>
    </xf>
    <xf borderId="26" fillId="5" fontId="3" numFmtId="0" xfId="0" applyAlignment="1" applyBorder="1" applyFont="1">
      <alignment horizontal="center"/>
    </xf>
    <xf borderId="26" fillId="0" fontId="4" numFmtId="0" xfId="0" applyBorder="1" applyFont="1"/>
    <xf borderId="27" fillId="0" fontId="4" numFmtId="0" xfId="0" applyBorder="1" applyFont="1"/>
    <xf borderId="0" fillId="0" fontId="1" numFmtId="0" xfId="0" applyAlignment="1" applyFont="1">
      <alignment readingOrder="0"/>
    </xf>
    <xf borderId="28" fillId="5" fontId="1" numFmtId="0" xfId="0" applyBorder="1" applyFont="1"/>
    <xf borderId="17" fillId="5" fontId="1" numFmtId="0" xfId="0" applyBorder="1" applyFont="1"/>
    <xf borderId="18" fillId="7" fontId="1" numFmtId="0" xfId="0" applyBorder="1" applyFont="1"/>
    <xf borderId="0" fillId="5" fontId="1" numFmtId="0" xfId="0" applyFont="1"/>
    <xf borderId="26" fillId="0" fontId="1" numFmtId="49" xfId="0" applyAlignment="1" applyBorder="1" applyFont="1" applyNumberFormat="1">
      <alignment horizontal="left"/>
    </xf>
    <xf borderId="29" fillId="0" fontId="1" numFmtId="0" xfId="0" applyBorder="1" applyFont="1"/>
    <xf borderId="20" fillId="0" fontId="1" numFmtId="164" xfId="0" applyAlignment="1" applyBorder="1" applyFont="1" applyNumberFormat="1">
      <alignment horizontal="right"/>
    </xf>
    <xf borderId="26" fillId="0" fontId="7" numFmtId="164" xfId="0" applyAlignment="1" applyBorder="1" applyFont="1" applyNumberFormat="1">
      <alignment horizontal="right" readingOrder="0" shrinkToFit="0" vertical="bottom" wrapText="0"/>
    </xf>
    <xf borderId="26" fillId="0" fontId="1" numFmtId="164" xfId="0" applyAlignment="1" applyBorder="1" applyFont="1" applyNumberFormat="1">
      <alignment horizontal="right"/>
    </xf>
    <xf borderId="26" fillId="0" fontId="1" numFmtId="164" xfId="0" applyAlignment="1" applyBorder="1" applyFont="1" applyNumberFormat="1">
      <alignment horizontal="right" readingOrder="0"/>
    </xf>
    <xf borderId="18" fillId="8" fontId="1" numFmtId="164" xfId="0" applyAlignment="1" applyBorder="1" applyFill="1" applyFont="1" applyNumberFormat="1">
      <alignment horizontal="right" readingOrder="0"/>
    </xf>
    <xf borderId="18" fillId="8" fontId="1" numFmtId="164" xfId="0" applyAlignment="1" applyBorder="1" applyFont="1" applyNumberFormat="1">
      <alignment horizontal="right"/>
    </xf>
    <xf borderId="26" fillId="0" fontId="7" numFmtId="164" xfId="0" applyAlignment="1" applyBorder="1" applyFont="1" applyNumberFormat="1">
      <alignment horizontal="right" shrinkToFit="0" vertical="bottom" wrapText="0"/>
    </xf>
    <xf borderId="18" fillId="8" fontId="1" numFmtId="165" xfId="0" applyAlignment="1" applyBorder="1" applyFont="1" applyNumberFormat="1">
      <alignment horizontal="right" readingOrder="0"/>
    </xf>
    <xf borderId="18" fillId="8" fontId="1" numFmtId="166" xfId="0" applyAlignment="1" applyBorder="1" applyFont="1" applyNumberFormat="1">
      <alignment horizontal="right"/>
    </xf>
    <xf borderId="15" fillId="0" fontId="1" numFmtId="49" xfId="0" applyBorder="1" applyFont="1" applyNumberFormat="1"/>
    <xf borderId="15" fillId="0" fontId="1" numFmtId="0" xfId="0" applyBorder="1" applyFont="1"/>
    <xf borderId="15" fillId="0" fontId="1" numFmtId="164" xfId="0" applyBorder="1" applyFont="1" applyNumberFormat="1"/>
    <xf borderId="30" fillId="0" fontId="1" numFmtId="0" xfId="0" applyBorder="1" applyFont="1"/>
    <xf borderId="16" fillId="0" fontId="1" numFmtId="49" xfId="0" applyBorder="1" applyFont="1" applyNumberFormat="1"/>
    <xf borderId="15" fillId="0" fontId="8" numFmtId="0" xfId="0" applyAlignment="1" applyBorder="1" applyFont="1">
      <alignment horizontal="center"/>
    </xf>
    <xf borderId="16" fillId="0" fontId="8" numFmtId="0" xfId="0" applyAlignment="1" applyBorder="1" applyFont="1">
      <alignment horizontal="center"/>
    </xf>
    <xf borderId="16" fillId="0" fontId="3" numFmtId="164" xfId="0" applyAlignment="1" applyBorder="1" applyFont="1" applyNumberFormat="1">
      <alignment horizontal="center"/>
    </xf>
    <xf borderId="0" fillId="0" fontId="3" numFmtId="0" xfId="0" applyFont="1"/>
    <xf borderId="0" fillId="0" fontId="1" numFmtId="10" xfId="0" applyFont="1" applyNumberFormat="1"/>
    <xf borderId="31" fillId="3" fontId="2" numFmtId="49" xfId="0" applyAlignment="1" applyBorder="1" applyFont="1" applyNumberFormat="1">
      <alignment horizontal="center"/>
    </xf>
    <xf borderId="0" fillId="4" fontId="3" numFmtId="0" xfId="0" applyAlignment="1" applyFont="1">
      <alignment horizontal="center"/>
    </xf>
    <xf borderId="32" fillId="3" fontId="1" numFmtId="0" xfId="0" applyBorder="1" applyFont="1"/>
    <xf borderId="12" fillId="0" fontId="4" numFmtId="0" xfId="0" applyBorder="1" applyFont="1"/>
    <xf borderId="13" fillId="0" fontId="4" numFmtId="0" xfId="0" applyBorder="1" applyFont="1"/>
    <xf borderId="21" fillId="3" fontId="5" numFmtId="14" xfId="0" applyAlignment="1" applyBorder="1" applyFont="1" applyNumberFormat="1">
      <alignment horizontal="center"/>
    </xf>
    <xf borderId="21" fillId="6" fontId="5" numFmtId="14" xfId="0" applyAlignment="1" applyBorder="1" applyFont="1" applyNumberFormat="1">
      <alignment horizontal="center"/>
    </xf>
    <xf borderId="18" fillId="7" fontId="1" numFmtId="10" xfId="0" applyBorder="1" applyFont="1" applyNumberFormat="1"/>
    <xf borderId="18" fillId="5" fontId="3" numFmtId="0" xfId="0" applyAlignment="1" applyBorder="1" applyFont="1">
      <alignment horizontal="center"/>
    </xf>
    <xf borderId="0" fillId="9" fontId="1" numFmtId="0" xfId="0" applyAlignment="1" applyFill="1" applyFont="1">
      <alignment horizontal="center" readingOrder="0"/>
    </xf>
    <xf borderId="21" fillId="5" fontId="3" numFmtId="0" xfId="0" applyAlignment="1" applyBorder="1" applyFont="1">
      <alignment horizontal="center"/>
    </xf>
    <xf borderId="21" fillId="7" fontId="3" numFmtId="0" xfId="0" applyAlignment="1" applyBorder="1" applyFont="1">
      <alignment horizontal="center"/>
    </xf>
    <xf borderId="21" fillId="7" fontId="9" numFmtId="0" xfId="0" applyAlignment="1" applyBorder="1" applyFont="1">
      <alignment horizontal="center" vertical="bottom"/>
    </xf>
    <xf borderId="21" fillId="5" fontId="9" numFmtId="0" xfId="0" applyAlignment="1" applyBorder="1" applyFont="1">
      <alignment horizontal="center" vertical="bottom"/>
    </xf>
    <xf borderId="21" fillId="5" fontId="6" numFmtId="0" xfId="0" applyAlignment="1" applyBorder="1" applyFont="1">
      <alignment horizontal="center" shrinkToFit="0" wrapText="1"/>
    </xf>
    <xf borderId="21" fillId="7" fontId="3" numFmtId="10" xfId="0" applyAlignment="1" applyBorder="1" applyFont="1" applyNumberFormat="1">
      <alignment horizontal="center" shrinkToFit="0" wrapText="1"/>
    </xf>
    <xf borderId="21" fillId="5" fontId="3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readingOrder="0"/>
    </xf>
    <xf borderId="18" fillId="7" fontId="11" numFmtId="0" xfId="0" applyAlignment="1" applyBorder="1" applyFont="1">
      <alignment vertical="bottom"/>
    </xf>
    <xf borderId="18" fillId="5" fontId="11" numFmtId="0" xfId="0" applyAlignment="1" applyBorder="1" applyFont="1">
      <alignment vertical="bottom"/>
    </xf>
    <xf borderId="18" fillId="8" fontId="11" numFmtId="164" xfId="0" applyAlignment="1" applyBorder="1" applyFont="1" applyNumberFormat="1">
      <alignment vertical="bottom"/>
    </xf>
    <xf borderId="26" fillId="0" fontId="11" numFmtId="164" xfId="0" applyAlignment="1" applyBorder="1" applyFont="1" applyNumberFormat="1">
      <alignment vertical="bottom"/>
    </xf>
    <xf borderId="18" fillId="7" fontId="1" numFmtId="10" xfId="0" applyAlignment="1" applyBorder="1" applyFont="1" applyNumberFormat="1">
      <alignment horizontal="center"/>
    </xf>
    <xf borderId="18" fillId="10" fontId="1" numFmtId="164" xfId="0" applyAlignment="1" applyBorder="1" applyFill="1" applyFont="1" applyNumberFormat="1">
      <alignment horizontal="right"/>
    </xf>
    <xf borderId="0" fillId="0" fontId="1" numFmtId="165" xfId="0" applyAlignment="1" applyFont="1" applyNumberFormat="1">
      <alignment readingOrder="0"/>
    </xf>
    <xf borderId="26" fillId="0" fontId="11" numFmtId="164" xfId="0" applyAlignment="1" applyBorder="1" applyFont="1" applyNumberFormat="1">
      <alignment horizontal="right" vertical="bottom"/>
    </xf>
    <xf borderId="0" fillId="11" fontId="1" numFmtId="165" xfId="0" applyAlignment="1" applyFill="1" applyFont="1" applyNumberFormat="1">
      <alignment readingOrder="0"/>
    </xf>
    <xf borderId="0" fillId="0" fontId="1" numFmtId="165" xfId="0" applyFont="1" applyNumberFormat="1"/>
    <xf borderId="0" fillId="12" fontId="1" numFmtId="165" xfId="0" applyFill="1" applyFont="1" applyNumberFormat="1"/>
    <xf borderId="0" fillId="11" fontId="1" numFmtId="165" xfId="0" applyFont="1" applyNumberFormat="1"/>
    <xf borderId="0" fillId="0" fontId="10" numFmtId="4" xfId="0" applyAlignment="1" applyFont="1" applyNumberFormat="1">
      <alignment readingOrder="0"/>
    </xf>
    <xf borderId="0" fillId="13" fontId="1" numFmtId="165" xfId="0" applyFill="1" applyFont="1" applyNumberFormat="1"/>
    <xf borderId="0" fillId="13" fontId="1" numFmtId="165" xfId="0" applyAlignment="1" applyFont="1" applyNumberFormat="1">
      <alignment readingOrder="0"/>
    </xf>
    <xf borderId="18" fillId="8" fontId="11" numFmtId="164" xfId="0" applyAlignment="1" applyBorder="1" applyFont="1" applyNumberFormat="1">
      <alignment horizontal="right" vertical="bottom"/>
    </xf>
    <xf borderId="0" fillId="12" fontId="1" numFmtId="165" xfId="0" applyAlignment="1" applyFont="1" applyNumberFormat="1">
      <alignment readingOrder="0"/>
    </xf>
    <xf borderId="15" fillId="0" fontId="11" numFmtId="164" xfId="0" applyAlignment="1" applyBorder="1" applyFont="1" applyNumberFormat="1">
      <alignment vertical="bottom"/>
    </xf>
    <xf borderId="15" fillId="0" fontId="1" numFmtId="10" xfId="0" applyBorder="1" applyFont="1" applyNumberFormat="1"/>
    <xf borderId="16" fillId="0" fontId="9" numFmtId="164" xfId="0" applyAlignment="1" applyBorder="1" applyFont="1" applyNumberFormat="1">
      <alignment horizontal="center" vertical="bottom"/>
    </xf>
    <xf borderId="16" fillId="0" fontId="3" numFmtId="10" xfId="0" applyAlignment="1" applyBorder="1" applyFont="1" applyNumberFormat="1">
      <alignment horizontal="center"/>
    </xf>
    <xf borderId="0" fillId="0" fontId="1" numFmtId="164" xfId="0" applyFont="1" applyNumberFormat="1"/>
    <xf borderId="33" fillId="14" fontId="5" numFmtId="164" xfId="0" applyBorder="1" applyFill="1" applyFont="1" applyNumberFormat="1"/>
    <xf borderId="33" fillId="14" fontId="1" numFmtId="164" xfId="0" applyBorder="1" applyFont="1" applyNumberFormat="1"/>
    <xf borderId="0" fillId="14" fontId="1" numFmtId="164" xfId="0" applyFont="1" applyNumberFormat="1"/>
    <xf borderId="33" fillId="15" fontId="5" numFmtId="164" xfId="0" applyBorder="1" applyFill="1" applyFont="1" applyNumberFormat="1"/>
    <xf borderId="33" fillId="15" fontId="1" numFmtId="0" xfId="0" applyBorder="1" applyFont="1"/>
    <xf borderId="0" fillId="15" fontId="1" numFmtId="0" xfId="0" applyFont="1"/>
    <xf borderId="0" fillId="0" fontId="1" numFmtId="164" xfId="0" applyAlignment="1" applyFont="1" applyNumberFormat="1">
      <alignment horizontal="right"/>
    </xf>
    <xf borderId="34" fillId="0" fontId="12" numFmtId="0" xfId="0" applyAlignment="1" applyBorder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0"/>
  <cols>
    <col customWidth="1" min="1" max="1" width="1.63"/>
    <col customWidth="1" min="2" max="2" width="6.13"/>
    <col customWidth="1" min="3" max="3" width="18.25"/>
    <col customWidth="1" min="4" max="4" width="24.5"/>
    <col customWidth="1" min="5" max="5" width="5.38"/>
    <col customWidth="1" min="6" max="6" width="26.63"/>
    <col customWidth="1" min="7" max="7" width="14.38"/>
    <col customWidth="1" min="8" max="8" width="15.13"/>
    <col customWidth="1" min="9" max="9" width="24.5"/>
    <col customWidth="1" min="10" max="10" width="21.88"/>
    <col customWidth="1" min="11" max="11" width="18.5"/>
    <col customWidth="1" min="12" max="12" width="14.0"/>
    <col customWidth="1" min="13" max="14" width="13.38"/>
    <col customWidth="1" min="15" max="15" width="5.0"/>
    <col customWidth="1" min="16" max="16" width="104.0"/>
    <col customWidth="1" min="17" max="17" width="5.0"/>
    <col customWidth="1" min="18" max="18" width="12.75"/>
  </cols>
  <sheetData>
    <row r="1" ht="15.75" customHeight="1">
      <c r="A1" s="1" t="s">
        <v>0</v>
      </c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41.25" customHeight="1">
      <c r="A2" s="1"/>
      <c r="B2" s="3"/>
      <c r="C2" s="4" t="s">
        <v>1</v>
      </c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1"/>
      <c r="P2" s="1"/>
      <c r="Q2" s="1"/>
    </row>
    <row r="3" ht="12.75" customHeight="1">
      <c r="A3" s="1"/>
      <c r="B3" s="7"/>
      <c r="C3" s="8"/>
      <c r="D3" s="9"/>
      <c r="E3" s="9"/>
      <c r="F3" s="9"/>
      <c r="G3" s="9"/>
      <c r="H3" s="9"/>
      <c r="I3" s="9"/>
      <c r="J3" s="9"/>
      <c r="K3" s="9"/>
      <c r="L3" s="9"/>
      <c r="M3" s="9"/>
      <c r="N3" s="10"/>
      <c r="O3" s="1"/>
      <c r="P3" s="1"/>
      <c r="Q3" s="1"/>
    </row>
    <row r="4" ht="12.75" customHeight="1">
      <c r="A4" s="1"/>
      <c r="B4" s="7"/>
      <c r="C4" s="11"/>
      <c r="D4" s="12"/>
      <c r="E4" s="12"/>
      <c r="F4" s="12"/>
      <c r="G4" s="12"/>
      <c r="H4" s="12"/>
      <c r="I4" s="12"/>
      <c r="J4" s="12"/>
      <c r="K4" s="12"/>
      <c r="L4" s="12"/>
      <c r="M4" s="12"/>
      <c r="N4" s="10"/>
      <c r="O4" s="1"/>
      <c r="P4" s="1"/>
      <c r="Q4" s="1"/>
    </row>
    <row r="5" ht="12.75" customHeight="1">
      <c r="A5" s="1"/>
      <c r="B5" s="13"/>
      <c r="C5" s="14"/>
      <c r="D5" s="15"/>
      <c r="E5" s="15"/>
      <c r="F5" s="15"/>
      <c r="G5" s="15"/>
      <c r="H5" s="16"/>
      <c r="I5" s="17" t="s">
        <v>2</v>
      </c>
      <c r="J5" s="18"/>
      <c r="K5" s="18"/>
      <c r="L5" s="19"/>
      <c r="M5" s="20"/>
      <c r="N5" s="9"/>
      <c r="O5" s="1"/>
      <c r="P5" s="1"/>
      <c r="Q5" s="1"/>
    </row>
    <row r="6" ht="17.25" customHeight="1">
      <c r="A6" s="21"/>
      <c r="B6" s="22"/>
      <c r="C6" s="23"/>
      <c r="D6" s="24"/>
      <c r="E6" s="25"/>
      <c r="F6" s="26" t="s">
        <v>3</v>
      </c>
      <c r="G6" s="27"/>
      <c r="H6" s="27"/>
      <c r="I6" s="28"/>
      <c r="J6" s="29"/>
      <c r="K6" s="30"/>
      <c r="L6" s="29"/>
      <c r="M6" s="30"/>
      <c r="N6" s="30"/>
      <c r="O6" s="1"/>
      <c r="P6" s="1"/>
      <c r="Q6" s="1"/>
    </row>
    <row r="7" ht="15.75" customHeight="1">
      <c r="A7" s="21"/>
      <c r="B7" s="31" t="s">
        <v>4</v>
      </c>
      <c r="C7" s="32" t="s">
        <v>5</v>
      </c>
      <c r="D7" s="33" t="s">
        <v>6</v>
      </c>
      <c r="E7" s="34"/>
      <c r="F7" s="35" t="s">
        <v>2</v>
      </c>
      <c r="G7" s="36" t="s">
        <v>7</v>
      </c>
      <c r="H7" s="37" t="s">
        <v>8</v>
      </c>
      <c r="I7" s="38" t="s">
        <v>9</v>
      </c>
      <c r="J7" s="39" t="s">
        <v>10</v>
      </c>
      <c r="K7" s="40" t="s">
        <v>11</v>
      </c>
      <c r="L7" s="41" t="s">
        <v>12</v>
      </c>
      <c r="M7" s="42" t="s">
        <v>13</v>
      </c>
      <c r="N7" s="42" t="s">
        <v>14</v>
      </c>
      <c r="O7" s="1"/>
      <c r="P7" s="1"/>
      <c r="Q7" s="1"/>
    </row>
    <row r="8" ht="51.0" customHeight="1">
      <c r="A8" s="21"/>
      <c r="B8" s="43"/>
      <c r="C8" s="44"/>
      <c r="D8" s="45"/>
      <c r="E8" s="46"/>
      <c r="F8" s="47"/>
      <c r="G8" s="43"/>
      <c r="H8" s="48"/>
      <c r="I8" s="43"/>
      <c r="J8" s="43"/>
      <c r="K8" s="43"/>
      <c r="L8" s="43"/>
      <c r="M8" s="43"/>
      <c r="N8" s="43"/>
      <c r="O8" s="1"/>
      <c r="P8" s="49" t="s">
        <v>15</v>
      </c>
      <c r="Q8" s="1"/>
    </row>
    <row r="9" ht="15.75" customHeight="1">
      <c r="A9" s="21"/>
      <c r="B9" s="22"/>
      <c r="C9" s="22"/>
      <c r="D9" s="50"/>
      <c r="E9" s="50"/>
      <c r="F9" s="51"/>
      <c r="G9" s="30"/>
      <c r="H9" s="30"/>
      <c r="I9" s="30"/>
      <c r="J9" s="52"/>
      <c r="K9" s="30"/>
      <c r="L9" s="52"/>
      <c r="M9" s="30"/>
      <c r="N9" s="53"/>
      <c r="O9" s="1"/>
      <c r="P9" s="1"/>
      <c r="Q9" s="1"/>
    </row>
    <row r="10" ht="15.75" customHeight="1">
      <c r="A10" s="21"/>
      <c r="B10" s="54" t="s">
        <v>16</v>
      </c>
      <c r="C10" s="54" t="s">
        <v>17</v>
      </c>
      <c r="D10" s="55" t="s">
        <v>18</v>
      </c>
      <c r="E10" s="55"/>
      <c r="F10" s="56">
        <v>5500.0</v>
      </c>
      <c r="G10" s="57">
        <v>515.0</v>
      </c>
      <c r="H10" s="58">
        <f t="shared" ref="H10:H78" si="1">F10+G10</f>
        <v>6015</v>
      </c>
      <c r="I10" s="59">
        <v>6015.0</v>
      </c>
      <c r="J10" s="60">
        <v>0.0</v>
      </c>
      <c r="K10" s="59">
        <v>750.0</v>
      </c>
      <c r="L10" s="61"/>
      <c r="M10" s="58">
        <f t="shared" ref="M10:M78" si="2">J10+K10+L10</f>
        <v>750</v>
      </c>
      <c r="N10" s="58">
        <f t="shared" ref="N10:N78" si="3">H10-I10-M10</f>
        <v>-750</v>
      </c>
      <c r="O10" s="1"/>
      <c r="P10" s="49" t="s">
        <v>19</v>
      </c>
      <c r="Q10" s="1"/>
    </row>
    <row r="11" ht="15.75" customHeight="1">
      <c r="A11" s="21"/>
      <c r="B11" s="54" t="s">
        <v>20</v>
      </c>
      <c r="C11" s="54" t="s">
        <v>17</v>
      </c>
      <c r="D11" s="55" t="s">
        <v>21</v>
      </c>
      <c r="E11" s="55"/>
      <c r="F11" s="56">
        <v>364814.62</v>
      </c>
      <c r="G11" s="62"/>
      <c r="H11" s="58">
        <f t="shared" si="1"/>
        <v>364814.62</v>
      </c>
      <c r="I11" s="58">
        <f>SUM('Continuation Sheet'!I11:O11)</f>
        <v>284961.84</v>
      </c>
      <c r="J11" s="60">
        <v>26859.91</v>
      </c>
      <c r="K11" s="58">
        <f>29346+57493</f>
        <v>86839</v>
      </c>
      <c r="L11" s="61">
        <f>10535+5000</f>
        <v>15535</v>
      </c>
      <c r="M11" s="58">
        <f t="shared" si="2"/>
        <v>129233.91</v>
      </c>
      <c r="N11" s="58">
        <f t="shared" si="3"/>
        <v>-49381.13</v>
      </c>
      <c r="O11" s="1"/>
      <c r="P11" s="1"/>
      <c r="Q11" s="1"/>
    </row>
    <row r="12" ht="15.75" customHeight="1">
      <c r="A12" s="21"/>
      <c r="B12" s="54" t="s">
        <v>22</v>
      </c>
      <c r="C12" s="54" t="s">
        <v>17</v>
      </c>
      <c r="D12" s="55" t="s">
        <v>23</v>
      </c>
      <c r="E12" s="55"/>
      <c r="F12" s="56">
        <v>208293.28</v>
      </c>
      <c r="G12" s="62"/>
      <c r="H12" s="58">
        <f t="shared" si="1"/>
        <v>208293.28</v>
      </c>
      <c r="I12" s="58">
        <f>SUM('Continuation Sheet'!I12:O12)</f>
        <v>127580.19</v>
      </c>
      <c r="J12" s="61">
        <f>3614.11</f>
        <v>3614.11</v>
      </c>
      <c r="K12" s="58">
        <f>38640.58+31928.33+15000</f>
        <v>85568.91</v>
      </c>
      <c r="L12" s="61"/>
      <c r="M12" s="58">
        <f t="shared" si="2"/>
        <v>89183.02</v>
      </c>
      <c r="N12" s="58">
        <f t="shared" si="3"/>
        <v>-8469.93</v>
      </c>
      <c r="O12" s="1"/>
      <c r="P12" s="1"/>
      <c r="Q12" s="1"/>
    </row>
    <row r="13" ht="15.75" customHeight="1">
      <c r="A13" s="21"/>
      <c r="B13" s="54" t="s">
        <v>24</v>
      </c>
      <c r="C13" s="54" t="s">
        <v>17</v>
      </c>
      <c r="D13" s="55" t="s">
        <v>25</v>
      </c>
      <c r="E13" s="55"/>
      <c r="F13" s="56">
        <v>17550.0</v>
      </c>
      <c r="G13" s="62"/>
      <c r="H13" s="58">
        <f t="shared" si="1"/>
        <v>17550</v>
      </c>
      <c r="I13" s="58">
        <f>SUM('Continuation Sheet'!I13:O13)</f>
        <v>0</v>
      </c>
      <c r="J13" s="61"/>
      <c r="K13" s="59">
        <v>49414.0</v>
      </c>
      <c r="L13" s="61">
        <f>66495+3000</f>
        <v>69495</v>
      </c>
      <c r="M13" s="58">
        <f t="shared" si="2"/>
        <v>118909</v>
      </c>
      <c r="N13" s="58">
        <f t="shared" si="3"/>
        <v>-101359</v>
      </c>
      <c r="O13" s="1"/>
      <c r="P13" s="1"/>
      <c r="Q13" s="1"/>
    </row>
    <row r="14" ht="15.75" customHeight="1">
      <c r="A14" s="21"/>
      <c r="B14" s="54" t="s">
        <v>26</v>
      </c>
      <c r="C14" s="54" t="s">
        <v>17</v>
      </c>
      <c r="D14" s="55" t="s">
        <v>27</v>
      </c>
      <c r="E14" s="55"/>
      <c r="F14" s="56">
        <v>44475.0</v>
      </c>
      <c r="G14" s="62"/>
      <c r="H14" s="58">
        <f t="shared" si="1"/>
        <v>44475</v>
      </c>
      <c r="I14" s="58">
        <f>SUM('Continuation Sheet'!I14:O14)</f>
        <v>0</v>
      </c>
      <c r="J14" s="61"/>
      <c r="K14" s="59">
        <v>44475.0</v>
      </c>
      <c r="L14" s="61">
        <f>3845+3714.31</f>
        <v>7559.31</v>
      </c>
      <c r="M14" s="58">
        <f t="shared" si="2"/>
        <v>52034.31</v>
      </c>
      <c r="N14" s="58">
        <f t="shared" si="3"/>
        <v>-7559.31</v>
      </c>
      <c r="O14" s="1"/>
      <c r="P14" s="1"/>
      <c r="Q14" s="1"/>
    </row>
    <row r="15" ht="15.75" customHeight="1">
      <c r="A15" s="21"/>
      <c r="B15" s="54" t="s">
        <v>28</v>
      </c>
      <c r="C15" s="54" t="s">
        <v>17</v>
      </c>
      <c r="D15" s="55" t="s">
        <v>29</v>
      </c>
      <c r="E15" s="55"/>
      <c r="F15" s="56">
        <v>49700.0</v>
      </c>
      <c r="G15" s="62"/>
      <c r="H15" s="58">
        <f t="shared" si="1"/>
        <v>49700</v>
      </c>
      <c r="I15" s="58">
        <f>SUM('Continuation Sheet'!I15:O15)</f>
        <v>49700</v>
      </c>
      <c r="J15" s="61"/>
      <c r="K15" s="58"/>
      <c r="L15" s="61"/>
      <c r="M15" s="58">
        <f t="shared" si="2"/>
        <v>0</v>
      </c>
      <c r="N15" s="58">
        <f t="shared" si="3"/>
        <v>0</v>
      </c>
      <c r="O15" s="1"/>
      <c r="P15" s="1"/>
      <c r="Q15" s="1"/>
    </row>
    <row r="16" ht="15.75" customHeight="1">
      <c r="A16" s="21"/>
      <c r="B16" s="54" t="s">
        <v>30</v>
      </c>
      <c r="C16" s="54" t="s">
        <v>31</v>
      </c>
      <c r="D16" s="55" t="s">
        <v>32</v>
      </c>
      <c r="E16" s="55"/>
      <c r="F16" s="56">
        <v>43755.0</v>
      </c>
      <c r="G16" s="57">
        <v>-20000.0</v>
      </c>
      <c r="H16" s="58">
        <f t="shared" si="1"/>
        <v>23755</v>
      </c>
      <c r="I16" s="58">
        <f>SUM('Continuation Sheet'!I16:O16)</f>
        <v>16365.04</v>
      </c>
      <c r="J16" s="60">
        <v>851.75</v>
      </c>
      <c r="K16" s="58"/>
      <c r="L16" s="61"/>
      <c r="M16" s="58">
        <f t="shared" si="2"/>
        <v>851.75</v>
      </c>
      <c r="N16" s="58">
        <f t="shared" si="3"/>
        <v>6538.21</v>
      </c>
      <c r="O16" s="1"/>
      <c r="P16" s="1"/>
      <c r="Q16" s="1"/>
    </row>
    <row r="17" ht="15.75" customHeight="1">
      <c r="A17" s="21"/>
      <c r="B17" s="54" t="s">
        <v>33</v>
      </c>
      <c r="C17" s="54" t="s">
        <v>31</v>
      </c>
      <c r="D17" s="55" t="s">
        <v>34</v>
      </c>
      <c r="E17" s="55"/>
      <c r="F17" s="56">
        <v>12500.0</v>
      </c>
      <c r="G17" s="62"/>
      <c r="H17" s="58">
        <f t="shared" si="1"/>
        <v>12500</v>
      </c>
      <c r="I17" s="58">
        <f>SUM('Continuation Sheet'!I17:O17)</f>
        <v>0</v>
      </c>
      <c r="J17" s="61"/>
      <c r="K17" s="59">
        <v>12500.0</v>
      </c>
      <c r="L17" s="61"/>
      <c r="M17" s="58">
        <f t="shared" si="2"/>
        <v>12500</v>
      </c>
      <c r="N17" s="58">
        <f t="shared" si="3"/>
        <v>0</v>
      </c>
      <c r="O17" s="1"/>
      <c r="P17" s="1"/>
      <c r="Q17" s="1"/>
    </row>
    <row r="18" ht="15.75" customHeight="1">
      <c r="A18" s="21"/>
      <c r="B18" s="54" t="s">
        <v>35</v>
      </c>
      <c r="C18" s="54" t="s">
        <v>31</v>
      </c>
      <c r="D18" s="55" t="s">
        <v>36</v>
      </c>
      <c r="E18" s="55"/>
      <c r="F18" s="56">
        <v>63244.0</v>
      </c>
      <c r="G18" s="62"/>
      <c r="H18" s="58">
        <f t="shared" si="1"/>
        <v>63244</v>
      </c>
      <c r="I18" s="58">
        <f>SUM('Continuation Sheet'!I18:O18)</f>
        <v>50372.23</v>
      </c>
      <c r="J18" s="61">
        <f>4242.8</f>
        <v>4242.8</v>
      </c>
      <c r="K18" s="59">
        <f>27500+3244.18</f>
        <v>30744.18</v>
      </c>
      <c r="L18" s="61"/>
      <c r="M18" s="58">
        <f t="shared" si="2"/>
        <v>34986.98</v>
      </c>
      <c r="N18" s="58">
        <f t="shared" si="3"/>
        <v>-22115.21</v>
      </c>
      <c r="O18" s="1"/>
      <c r="P18" s="1"/>
      <c r="Q18" s="1"/>
    </row>
    <row r="19" ht="15.75" customHeight="1">
      <c r="A19" s="21"/>
      <c r="B19" s="54" t="s">
        <v>37</v>
      </c>
      <c r="C19" s="54" t="s">
        <v>31</v>
      </c>
      <c r="D19" s="55" t="s">
        <v>38</v>
      </c>
      <c r="E19" s="55"/>
      <c r="F19" s="56">
        <v>97940.0</v>
      </c>
      <c r="G19" s="62"/>
      <c r="H19" s="58">
        <f t="shared" si="1"/>
        <v>97940</v>
      </c>
      <c r="I19" s="58">
        <f>SUM('Continuation Sheet'!I19:O19)</f>
        <v>80613.2</v>
      </c>
      <c r="J19" s="60">
        <f>1066.92+4242.8</f>
        <v>5309.72</v>
      </c>
      <c r="K19" s="59">
        <f>5761</f>
        <v>5761</v>
      </c>
      <c r="L19" s="60">
        <v>10598.4</v>
      </c>
      <c r="M19" s="58">
        <f t="shared" si="2"/>
        <v>21669.12</v>
      </c>
      <c r="N19" s="58">
        <f t="shared" si="3"/>
        <v>-4342.32</v>
      </c>
      <c r="O19" s="1"/>
      <c r="P19" s="49" t="s">
        <v>39</v>
      </c>
      <c r="Q19" s="1"/>
    </row>
    <row r="20" ht="15.75" customHeight="1">
      <c r="A20" s="21"/>
      <c r="B20" s="54" t="s">
        <v>40</v>
      </c>
      <c r="C20" s="54" t="s">
        <v>31</v>
      </c>
      <c r="D20" s="55" t="s">
        <v>41</v>
      </c>
      <c r="E20" s="55"/>
      <c r="F20" s="56">
        <v>84577.0</v>
      </c>
      <c r="G20" s="57">
        <v>-24000.0</v>
      </c>
      <c r="H20" s="58">
        <f t="shared" si="1"/>
        <v>60577</v>
      </c>
      <c r="I20" s="58">
        <f>SUM('Continuation Sheet'!I20:O20)</f>
        <v>0</v>
      </c>
      <c r="J20" s="63">
        <v>17699.18</v>
      </c>
      <c r="K20" s="58"/>
      <c r="L20" s="61"/>
      <c r="M20" s="58">
        <f t="shared" si="2"/>
        <v>17699.18</v>
      </c>
      <c r="N20" s="58">
        <f t="shared" si="3"/>
        <v>42877.82</v>
      </c>
      <c r="O20" s="1"/>
      <c r="P20" s="1"/>
      <c r="Q20" s="1"/>
    </row>
    <row r="21" ht="15.75" customHeight="1">
      <c r="A21" s="21"/>
      <c r="B21" s="54" t="s">
        <v>42</v>
      </c>
      <c r="C21" s="54" t="s">
        <v>31</v>
      </c>
      <c r="D21" s="55" t="s">
        <v>43</v>
      </c>
      <c r="E21" s="55"/>
      <c r="F21" s="56">
        <v>623901.14</v>
      </c>
      <c r="G21" s="57">
        <v>-221107.65</v>
      </c>
      <c r="H21" s="58">
        <f t="shared" si="1"/>
        <v>402793.49</v>
      </c>
      <c r="I21" s="58">
        <f>SUM('Continuation Sheet'!I21:O21)</f>
        <v>250237.61</v>
      </c>
      <c r="J21" s="61"/>
      <c r="K21" s="58"/>
      <c r="L21" s="61"/>
      <c r="M21" s="58">
        <f t="shared" si="2"/>
        <v>0</v>
      </c>
      <c r="N21" s="58">
        <f t="shared" si="3"/>
        <v>152555.88</v>
      </c>
      <c r="O21" s="1"/>
      <c r="P21" s="1"/>
      <c r="Q21" s="1"/>
    </row>
    <row r="22" ht="15.75" customHeight="1">
      <c r="A22" s="21"/>
      <c r="B22" s="54" t="s">
        <v>44</v>
      </c>
      <c r="C22" s="54" t="s">
        <v>31</v>
      </c>
      <c r="D22" s="55" t="s">
        <v>45</v>
      </c>
      <c r="E22" s="55"/>
      <c r="F22" s="56">
        <v>4500.0</v>
      </c>
      <c r="G22" s="62"/>
      <c r="H22" s="58">
        <f t="shared" si="1"/>
        <v>4500</v>
      </c>
      <c r="I22" s="58">
        <f>SUM('Continuation Sheet'!I22:O22)</f>
        <v>0</v>
      </c>
      <c r="J22" s="61"/>
      <c r="K22" s="58"/>
      <c r="L22" s="61"/>
      <c r="M22" s="58">
        <f t="shared" si="2"/>
        <v>0</v>
      </c>
      <c r="N22" s="58">
        <f t="shared" si="3"/>
        <v>4500</v>
      </c>
      <c r="O22" s="1"/>
      <c r="P22" s="1"/>
      <c r="Q22" s="1"/>
    </row>
    <row r="23" ht="15.75" customHeight="1">
      <c r="A23" s="21"/>
      <c r="B23" s="54" t="s">
        <v>46</v>
      </c>
      <c r="C23" s="54" t="s">
        <v>31</v>
      </c>
      <c r="D23" s="55" t="s">
        <v>47</v>
      </c>
      <c r="E23" s="55"/>
      <c r="F23" s="56">
        <v>7500.0</v>
      </c>
      <c r="G23" s="57">
        <v>5053.48</v>
      </c>
      <c r="H23" s="58">
        <f t="shared" si="1"/>
        <v>12553.48</v>
      </c>
      <c r="I23" s="58">
        <f>SUM('Continuation Sheet'!I23:O23)</f>
        <v>12553.48</v>
      </c>
      <c r="J23" s="61"/>
      <c r="K23" s="58"/>
      <c r="L23" s="61"/>
      <c r="M23" s="58">
        <f t="shared" si="2"/>
        <v>0</v>
      </c>
      <c r="N23" s="58">
        <f t="shared" si="3"/>
        <v>0</v>
      </c>
      <c r="O23" s="1"/>
      <c r="P23" s="1"/>
      <c r="Q23" s="1"/>
    </row>
    <row r="24" ht="15.75" customHeight="1">
      <c r="A24" s="21"/>
      <c r="B24" s="54" t="s">
        <v>48</v>
      </c>
      <c r="C24" s="54" t="s">
        <v>31</v>
      </c>
      <c r="D24" s="55" t="s">
        <v>49</v>
      </c>
      <c r="E24" s="55"/>
      <c r="F24" s="56">
        <v>70150.0</v>
      </c>
      <c r="G24" s="62"/>
      <c r="H24" s="58">
        <f t="shared" si="1"/>
        <v>70150</v>
      </c>
      <c r="I24" s="58">
        <f>SUM('Continuation Sheet'!I24:O24)</f>
        <v>0</v>
      </c>
      <c r="J24" s="61"/>
      <c r="K24" s="58"/>
      <c r="L24" s="61"/>
      <c r="M24" s="58">
        <f t="shared" si="2"/>
        <v>0</v>
      </c>
      <c r="N24" s="58">
        <f t="shared" si="3"/>
        <v>70150</v>
      </c>
      <c r="O24" s="1"/>
      <c r="P24" s="1"/>
      <c r="Q24" s="1"/>
    </row>
    <row r="25" ht="15.75" customHeight="1">
      <c r="A25" s="21"/>
      <c r="B25" s="54" t="s">
        <v>50</v>
      </c>
      <c r="C25" s="54" t="s">
        <v>31</v>
      </c>
      <c r="D25" s="55" t="s">
        <v>51</v>
      </c>
      <c r="E25" s="55"/>
      <c r="F25" s="56">
        <v>52475.0</v>
      </c>
      <c r="G25" s="57">
        <v>-19908.96</v>
      </c>
      <c r="H25" s="58">
        <f t="shared" si="1"/>
        <v>32566.04</v>
      </c>
      <c r="I25" s="58">
        <f>SUM('Continuation Sheet'!I25:O25)</f>
        <v>32480.8</v>
      </c>
      <c r="J25" s="61"/>
      <c r="K25" s="58"/>
      <c r="L25" s="61"/>
      <c r="M25" s="58">
        <f t="shared" si="2"/>
        <v>0</v>
      </c>
      <c r="N25" s="58">
        <f t="shared" si="3"/>
        <v>85.24</v>
      </c>
      <c r="O25" s="1"/>
      <c r="P25" s="1"/>
      <c r="Q25" s="1"/>
    </row>
    <row r="26" ht="15.75" customHeight="1">
      <c r="A26" s="21"/>
      <c r="B26" s="54" t="s">
        <v>52</v>
      </c>
      <c r="C26" s="54" t="s">
        <v>53</v>
      </c>
      <c r="D26" s="55" t="s">
        <v>54</v>
      </c>
      <c r="E26" s="55"/>
      <c r="F26" s="56">
        <v>524500.0</v>
      </c>
      <c r="G26" s="62"/>
      <c r="H26" s="58">
        <f t="shared" si="1"/>
        <v>524500</v>
      </c>
      <c r="I26" s="58">
        <f>SUM('Continuation Sheet'!I26:O26)</f>
        <v>381460.72</v>
      </c>
      <c r="J26" s="61">
        <f>2200</f>
        <v>2200</v>
      </c>
      <c r="K26" s="59">
        <f>3600+3600+60080</f>
        <v>67280</v>
      </c>
      <c r="L26" s="61"/>
      <c r="M26" s="58">
        <f t="shared" si="2"/>
        <v>69480</v>
      </c>
      <c r="N26" s="58">
        <f t="shared" si="3"/>
        <v>73559.28</v>
      </c>
      <c r="O26" s="1"/>
      <c r="P26" s="1"/>
      <c r="Q26" s="1"/>
    </row>
    <row r="27" ht="15.75" customHeight="1">
      <c r="A27" s="21"/>
      <c r="B27" s="54" t="s">
        <v>55</v>
      </c>
      <c r="C27" s="54" t="s">
        <v>53</v>
      </c>
      <c r="D27" s="55" t="s">
        <v>56</v>
      </c>
      <c r="E27" s="55"/>
      <c r="F27" s="56">
        <v>1244900.0</v>
      </c>
      <c r="G27" s="62"/>
      <c r="H27" s="58">
        <f t="shared" si="1"/>
        <v>1244900</v>
      </c>
      <c r="I27" s="58">
        <f>SUM('Continuation Sheet'!I27:O27)</f>
        <v>934132.15</v>
      </c>
      <c r="J27" s="61"/>
      <c r="K27" s="58"/>
      <c r="L27" s="61"/>
      <c r="M27" s="58">
        <f t="shared" si="2"/>
        <v>0</v>
      </c>
      <c r="N27" s="58">
        <f t="shared" si="3"/>
        <v>310767.85</v>
      </c>
      <c r="O27" s="1"/>
      <c r="P27" s="1"/>
      <c r="Q27" s="1"/>
    </row>
    <row r="28" ht="15.75" customHeight="1">
      <c r="A28" s="21"/>
      <c r="B28" s="54" t="s">
        <v>57</v>
      </c>
      <c r="C28" s="54" t="s">
        <v>53</v>
      </c>
      <c r="D28" s="55" t="s">
        <v>58</v>
      </c>
      <c r="E28" s="55"/>
      <c r="F28" s="56">
        <v>434737.1</v>
      </c>
      <c r="G28" s="62"/>
      <c r="H28" s="58">
        <f t="shared" si="1"/>
        <v>434737.1</v>
      </c>
      <c r="I28" s="58">
        <f>SUM('Continuation Sheet'!I28:O28)</f>
        <v>129850.11</v>
      </c>
      <c r="J28" s="61"/>
      <c r="K28" s="58"/>
      <c r="L28" s="61"/>
      <c r="M28" s="58">
        <f t="shared" si="2"/>
        <v>0</v>
      </c>
      <c r="N28" s="58">
        <f t="shared" si="3"/>
        <v>304886.99</v>
      </c>
      <c r="O28" s="1"/>
      <c r="P28" s="1"/>
      <c r="Q28" s="1"/>
    </row>
    <row r="29" ht="15.75" customHeight="1">
      <c r="A29" s="21"/>
      <c r="B29" s="54" t="s">
        <v>59</v>
      </c>
      <c r="C29" s="54" t="s">
        <v>53</v>
      </c>
      <c r="D29" s="55" t="s">
        <v>60</v>
      </c>
      <c r="E29" s="55"/>
      <c r="F29" s="56">
        <v>37500.0</v>
      </c>
      <c r="G29" s="62"/>
      <c r="H29" s="58">
        <f t="shared" si="1"/>
        <v>37500</v>
      </c>
      <c r="I29" s="58">
        <f>SUM('Continuation Sheet'!I29:O29)</f>
        <v>0</v>
      </c>
      <c r="J29" s="61"/>
      <c r="K29" s="58"/>
      <c r="L29" s="61"/>
      <c r="M29" s="58">
        <f t="shared" si="2"/>
        <v>0</v>
      </c>
      <c r="N29" s="58">
        <f t="shared" si="3"/>
        <v>37500</v>
      </c>
      <c r="O29" s="1"/>
      <c r="P29" s="1"/>
      <c r="Q29" s="1"/>
    </row>
    <row r="30" ht="15.75" customHeight="1">
      <c r="A30" s="21"/>
      <c r="B30" s="54" t="s">
        <v>61</v>
      </c>
      <c r="C30" s="54" t="s">
        <v>53</v>
      </c>
      <c r="D30" s="55" t="s">
        <v>62</v>
      </c>
      <c r="E30" s="55"/>
      <c r="F30" s="56">
        <v>168681.0</v>
      </c>
      <c r="G30" s="62"/>
      <c r="H30" s="58">
        <f t="shared" si="1"/>
        <v>168681</v>
      </c>
      <c r="I30" s="58">
        <f>SUM('Continuation Sheet'!I30:O30)</f>
        <v>91342.53</v>
      </c>
      <c r="J30" s="61"/>
      <c r="K30" s="58"/>
      <c r="L30" s="61"/>
      <c r="M30" s="58">
        <f t="shared" si="2"/>
        <v>0</v>
      </c>
      <c r="N30" s="58">
        <f t="shared" si="3"/>
        <v>77338.47</v>
      </c>
      <c r="O30" s="1"/>
      <c r="P30" s="1"/>
      <c r="Q30" s="1"/>
    </row>
    <row r="31" ht="15.75" customHeight="1">
      <c r="A31" s="21"/>
      <c r="B31" s="54" t="s">
        <v>63</v>
      </c>
      <c r="C31" s="54" t="s">
        <v>53</v>
      </c>
      <c r="D31" s="55" t="s">
        <v>64</v>
      </c>
      <c r="E31" s="55"/>
      <c r="F31" s="56">
        <v>14750.0</v>
      </c>
      <c r="G31" s="62"/>
      <c r="H31" s="58">
        <f t="shared" si="1"/>
        <v>14750</v>
      </c>
      <c r="I31" s="58">
        <f>SUM('Continuation Sheet'!I31:O31)</f>
        <v>3515.03</v>
      </c>
      <c r="J31" s="61"/>
      <c r="K31" s="58"/>
      <c r="L31" s="61"/>
      <c r="M31" s="58">
        <f t="shared" si="2"/>
        <v>0</v>
      </c>
      <c r="N31" s="58">
        <f t="shared" si="3"/>
        <v>11234.97</v>
      </c>
      <c r="O31" s="1"/>
      <c r="P31" s="1"/>
      <c r="Q31" s="1"/>
    </row>
    <row r="32" ht="15.75" customHeight="1">
      <c r="A32" s="21"/>
      <c r="B32" s="54" t="s">
        <v>65</v>
      </c>
      <c r="C32" s="54" t="s">
        <v>66</v>
      </c>
      <c r="D32" s="55" t="s">
        <v>67</v>
      </c>
      <c r="E32" s="55"/>
      <c r="F32" s="56">
        <v>152486.0</v>
      </c>
      <c r="G32" s="62"/>
      <c r="H32" s="58">
        <f t="shared" si="1"/>
        <v>152486</v>
      </c>
      <c r="I32" s="58">
        <f>SUM('Continuation Sheet'!I32:O32)</f>
        <v>141181.97</v>
      </c>
      <c r="J32" s="61"/>
      <c r="K32" s="58"/>
      <c r="L32" s="61"/>
      <c r="M32" s="58">
        <f t="shared" si="2"/>
        <v>0</v>
      </c>
      <c r="N32" s="58">
        <f t="shared" si="3"/>
        <v>11304.03</v>
      </c>
      <c r="O32" s="1"/>
      <c r="P32" s="1"/>
      <c r="Q32" s="1"/>
    </row>
    <row r="33" ht="15.75" customHeight="1">
      <c r="A33" s="21"/>
      <c r="B33" s="54" t="s">
        <v>68</v>
      </c>
      <c r="C33" s="54" t="s">
        <v>66</v>
      </c>
      <c r="D33" s="55" t="s">
        <v>69</v>
      </c>
      <c r="E33" s="55"/>
      <c r="F33" s="56">
        <v>222919.0</v>
      </c>
      <c r="G33" s="57">
        <v>-25000.0</v>
      </c>
      <c r="H33" s="58">
        <f t="shared" si="1"/>
        <v>197919</v>
      </c>
      <c r="I33" s="58">
        <f>SUM('Continuation Sheet'!I33:O33)</f>
        <v>184045.4</v>
      </c>
      <c r="J33" s="60">
        <v>9686.6</v>
      </c>
      <c r="K33" s="58"/>
      <c r="L33" s="61"/>
      <c r="M33" s="58">
        <f t="shared" si="2"/>
        <v>9686.6</v>
      </c>
      <c r="N33" s="58">
        <f t="shared" si="3"/>
        <v>4187</v>
      </c>
      <c r="O33" s="1"/>
      <c r="P33" s="1"/>
      <c r="Q33" s="1"/>
    </row>
    <row r="34" ht="15.75" customHeight="1">
      <c r="A34" s="21"/>
      <c r="B34" s="54" t="s">
        <v>70</v>
      </c>
      <c r="C34" s="54" t="s">
        <v>66</v>
      </c>
      <c r="D34" s="55" t="s">
        <v>71</v>
      </c>
      <c r="E34" s="55"/>
      <c r="F34" s="56">
        <v>1467345.0</v>
      </c>
      <c r="G34" s="62"/>
      <c r="H34" s="58">
        <f t="shared" si="1"/>
        <v>1467345</v>
      </c>
      <c r="I34" s="58">
        <f>SUM('Continuation Sheet'!I34:O34)</f>
        <v>1126879.14</v>
      </c>
      <c r="J34" s="60">
        <f>51371.44+3875</f>
        <v>55246.44</v>
      </c>
      <c r="K34" s="59">
        <f>357781.56</f>
        <v>357781.56</v>
      </c>
      <c r="L34" s="61"/>
      <c r="M34" s="58">
        <f t="shared" si="2"/>
        <v>413028</v>
      </c>
      <c r="N34" s="58">
        <f t="shared" si="3"/>
        <v>-72562.14</v>
      </c>
      <c r="O34" s="1"/>
      <c r="P34" s="49" t="s">
        <v>72</v>
      </c>
      <c r="Q34" s="1"/>
    </row>
    <row r="35" ht="15.75" customHeight="1">
      <c r="A35" s="21"/>
      <c r="B35" s="54" t="s">
        <v>73</v>
      </c>
      <c r="C35" s="54" t="s">
        <v>66</v>
      </c>
      <c r="D35" s="55" t="s">
        <v>74</v>
      </c>
      <c r="E35" s="55"/>
      <c r="F35" s="56">
        <v>25000.0</v>
      </c>
      <c r="G35" s="57">
        <v>146985.68</v>
      </c>
      <c r="H35" s="58">
        <f t="shared" si="1"/>
        <v>171985.68</v>
      </c>
      <c r="I35" s="58">
        <f>SUM('Continuation Sheet'!I35:O35)</f>
        <v>170079.85</v>
      </c>
      <c r="J35" s="61"/>
      <c r="K35" s="58"/>
      <c r="L35" s="61"/>
      <c r="M35" s="58">
        <f t="shared" si="2"/>
        <v>0</v>
      </c>
      <c r="N35" s="58">
        <f t="shared" si="3"/>
        <v>1905.83</v>
      </c>
      <c r="O35" s="1"/>
      <c r="P35" s="1"/>
      <c r="Q35" s="1"/>
    </row>
    <row r="36" ht="15.75" customHeight="1">
      <c r="A36" s="21"/>
      <c r="B36" s="54" t="s">
        <v>75</v>
      </c>
      <c r="C36" s="54" t="s">
        <v>66</v>
      </c>
      <c r="D36" s="55" t="s">
        <v>76</v>
      </c>
      <c r="E36" s="55"/>
      <c r="F36" s="56">
        <v>189135.0</v>
      </c>
      <c r="G36" s="57">
        <v>-50313.72</v>
      </c>
      <c r="H36" s="58">
        <f t="shared" si="1"/>
        <v>138821.28</v>
      </c>
      <c r="I36" s="58">
        <f>SUM('Continuation Sheet'!I36:O36)</f>
        <v>135233.66</v>
      </c>
      <c r="J36" s="61"/>
      <c r="K36" s="58"/>
      <c r="L36" s="61"/>
      <c r="M36" s="58">
        <f t="shared" si="2"/>
        <v>0</v>
      </c>
      <c r="N36" s="58">
        <f t="shared" si="3"/>
        <v>3587.62</v>
      </c>
      <c r="O36" s="1"/>
      <c r="P36" s="1"/>
      <c r="Q36" s="1"/>
    </row>
    <row r="37" ht="15.75" customHeight="1">
      <c r="A37" s="21"/>
      <c r="B37" s="54" t="s">
        <v>77</v>
      </c>
      <c r="C37" s="54" t="s">
        <v>66</v>
      </c>
      <c r="D37" s="55" t="s">
        <v>78</v>
      </c>
      <c r="E37" s="55"/>
      <c r="F37" s="56">
        <v>303668.8</v>
      </c>
      <c r="G37" s="62"/>
      <c r="H37" s="58">
        <f t="shared" si="1"/>
        <v>303668.8</v>
      </c>
      <c r="I37" s="58">
        <f>SUM('Continuation Sheet'!I37:O37)</f>
        <v>136304.72</v>
      </c>
      <c r="J37" s="61"/>
      <c r="K37" s="58"/>
      <c r="L37" s="64"/>
      <c r="M37" s="58">
        <f t="shared" si="2"/>
        <v>0</v>
      </c>
      <c r="N37" s="58">
        <f t="shared" si="3"/>
        <v>167364.08</v>
      </c>
      <c r="O37" s="1"/>
      <c r="P37" s="1"/>
      <c r="Q37" s="1"/>
    </row>
    <row r="38" ht="15.75" customHeight="1">
      <c r="A38" s="21"/>
      <c r="B38" s="54" t="s">
        <v>79</v>
      </c>
      <c r="C38" s="54" t="s">
        <v>66</v>
      </c>
      <c r="D38" s="55" t="s">
        <v>80</v>
      </c>
      <c r="E38" s="55"/>
      <c r="F38" s="56">
        <v>6000.0</v>
      </c>
      <c r="G38" s="62"/>
      <c r="H38" s="58">
        <f t="shared" si="1"/>
        <v>6000</v>
      </c>
      <c r="I38" s="58">
        <f>SUM('Continuation Sheet'!I38:O38)</f>
        <v>0</v>
      </c>
      <c r="J38" s="61"/>
      <c r="K38" s="58"/>
      <c r="L38" s="61"/>
      <c r="M38" s="58">
        <f t="shared" si="2"/>
        <v>0</v>
      </c>
      <c r="N38" s="58">
        <f t="shared" si="3"/>
        <v>6000</v>
      </c>
      <c r="O38" s="1"/>
      <c r="P38" s="1"/>
      <c r="Q38" s="1"/>
    </row>
    <row r="39" ht="15.75" customHeight="1">
      <c r="A39" s="21"/>
      <c r="B39" s="54" t="s">
        <v>81</v>
      </c>
      <c r="C39" s="54" t="s">
        <v>66</v>
      </c>
      <c r="D39" s="55" t="s">
        <v>82</v>
      </c>
      <c r="E39" s="55"/>
      <c r="F39" s="56">
        <v>14081.4</v>
      </c>
      <c r="G39" s="62"/>
      <c r="H39" s="58">
        <f t="shared" si="1"/>
        <v>14081.4</v>
      </c>
      <c r="I39" s="58">
        <f>SUM('Continuation Sheet'!I39:O39)</f>
        <v>0</v>
      </c>
      <c r="J39" s="61"/>
      <c r="K39" s="58"/>
      <c r="L39" s="61"/>
      <c r="M39" s="58">
        <f t="shared" si="2"/>
        <v>0</v>
      </c>
      <c r="N39" s="58">
        <f t="shared" si="3"/>
        <v>14081.4</v>
      </c>
      <c r="O39" s="1"/>
      <c r="P39" s="1"/>
      <c r="Q39" s="1"/>
    </row>
    <row r="40" ht="15.75" customHeight="1">
      <c r="A40" s="21"/>
      <c r="B40" s="54" t="s">
        <v>83</v>
      </c>
      <c r="C40" s="54" t="s">
        <v>66</v>
      </c>
      <c r="D40" s="55" t="s">
        <v>84</v>
      </c>
      <c r="E40" s="55"/>
      <c r="F40" s="56">
        <v>10000.0</v>
      </c>
      <c r="G40" s="62"/>
      <c r="H40" s="58">
        <f t="shared" si="1"/>
        <v>10000</v>
      </c>
      <c r="I40" s="58">
        <f>SUM('Continuation Sheet'!I40:O40)</f>
        <v>0</v>
      </c>
      <c r="J40" s="61"/>
      <c r="K40" s="58"/>
      <c r="L40" s="61"/>
      <c r="M40" s="58">
        <f t="shared" si="2"/>
        <v>0</v>
      </c>
      <c r="N40" s="58">
        <f t="shared" si="3"/>
        <v>10000</v>
      </c>
      <c r="O40" s="1"/>
      <c r="P40" s="1"/>
      <c r="Q40" s="1"/>
    </row>
    <row r="41" ht="15.75" customHeight="1">
      <c r="A41" s="21"/>
      <c r="B41" s="54" t="s">
        <v>85</v>
      </c>
      <c r="C41" s="54" t="s">
        <v>66</v>
      </c>
      <c r="D41" s="55" t="s">
        <v>86</v>
      </c>
      <c r="E41" s="55"/>
      <c r="F41" s="56">
        <v>65000.0</v>
      </c>
      <c r="G41" s="62"/>
      <c r="H41" s="58">
        <f t="shared" si="1"/>
        <v>65000</v>
      </c>
      <c r="I41" s="58">
        <f>SUM('Continuation Sheet'!I41:O41)</f>
        <v>15682.52</v>
      </c>
      <c r="J41" s="61"/>
      <c r="K41" s="58"/>
      <c r="L41" s="61"/>
      <c r="M41" s="58">
        <f t="shared" si="2"/>
        <v>0</v>
      </c>
      <c r="N41" s="58">
        <f t="shared" si="3"/>
        <v>49317.48</v>
      </c>
      <c r="O41" s="1"/>
      <c r="P41" s="1"/>
      <c r="Q41" s="1"/>
    </row>
    <row r="42" ht="15.75" customHeight="1">
      <c r="A42" s="21"/>
      <c r="B42" s="54" t="s">
        <v>87</v>
      </c>
      <c r="C42" s="54" t="s">
        <v>66</v>
      </c>
      <c r="D42" s="55" t="s">
        <v>88</v>
      </c>
      <c r="E42" s="55"/>
      <c r="F42" s="56">
        <v>7850.0</v>
      </c>
      <c r="G42" s="62"/>
      <c r="H42" s="58">
        <f t="shared" si="1"/>
        <v>7850</v>
      </c>
      <c r="I42" s="58">
        <f>SUM('Continuation Sheet'!I42:O42)</f>
        <v>0</v>
      </c>
      <c r="J42" s="61"/>
      <c r="K42" s="58"/>
      <c r="L42" s="61"/>
      <c r="M42" s="58">
        <f t="shared" si="2"/>
        <v>0</v>
      </c>
      <c r="N42" s="58">
        <f t="shared" si="3"/>
        <v>7850</v>
      </c>
      <c r="O42" s="1"/>
      <c r="P42" s="1"/>
      <c r="Q42" s="1"/>
    </row>
    <row r="43" ht="15.75" customHeight="1">
      <c r="A43" s="21"/>
      <c r="B43" s="54" t="s">
        <v>89</v>
      </c>
      <c r="C43" s="54" t="s">
        <v>66</v>
      </c>
      <c r="D43" s="55" t="s">
        <v>90</v>
      </c>
      <c r="E43" s="55"/>
      <c r="F43" s="56">
        <v>24750.0</v>
      </c>
      <c r="G43" s="57">
        <v>-15000.0</v>
      </c>
      <c r="H43" s="58">
        <f t="shared" si="1"/>
        <v>9750</v>
      </c>
      <c r="I43" s="58">
        <f>SUM('Continuation Sheet'!I43:O43)</f>
        <v>0</v>
      </c>
      <c r="J43" s="61"/>
      <c r="K43" s="58"/>
      <c r="L43" s="61"/>
      <c r="M43" s="58">
        <f t="shared" si="2"/>
        <v>0</v>
      </c>
      <c r="N43" s="58">
        <f t="shared" si="3"/>
        <v>9750</v>
      </c>
      <c r="O43" s="1"/>
      <c r="P43" s="1"/>
      <c r="Q43" s="1"/>
    </row>
    <row r="44" ht="15.75" customHeight="1">
      <c r="A44" s="21"/>
      <c r="B44" s="54" t="s">
        <v>91</v>
      </c>
      <c r="C44" s="54" t="s">
        <v>66</v>
      </c>
      <c r="D44" s="55" t="s">
        <v>92</v>
      </c>
      <c r="E44" s="55"/>
      <c r="F44" s="56">
        <v>340975.0</v>
      </c>
      <c r="G44" s="62"/>
      <c r="H44" s="58">
        <f t="shared" si="1"/>
        <v>340975</v>
      </c>
      <c r="I44" s="58">
        <f>SUM('Continuation Sheet'!I44:O44)</f>
        <v>172071.22</v>
      </c>
      <c r="J44" s="61"/>
      <c r="K44" s="58"/>
      <c r="L44" s="61"/>
      <c r="M44" s="58">
        <f t="shared" si="2"/>
        <v>0</v>
      </c>
      <c r="N44" s="58">
        <f t="shared" si="3"/>
        <v>168903.78</v>
      </c>
      <c r="O44" s="1"/>
      <c r="P44" s="1"/>
      <c r="Q44" s="1"/>
    </row>
    <row r="45" ht="15.75" customHeight="1">
      <c r="A45" s="21"/>
      <c r="B45" s="54" t="s">
        <v>93</v>
      </c>
      <c r="C45" s="54" t="s">
        <v>94</v>
      </c>
      <c r="D45" s="55" t="s">
        <v>95</v>
      </c>
      <c r="E45" s="55"/>
      <c r="F45" s="56">
        <v>342000.0</v>
      </c>
      <c r="G45" s="57">
        <v>9500.0</v>
      </c>
      <c r="H45" s="58">
        <f t="shared" si="1"/>
        <v>351500</v>
      </c>
      <c r="I45" s="58">
        <f>SUM('Continuation Sheet'!I45:O45)</f>
        <v>351500</v>
      </c>
      <c r="J45" s="61"/>
      <c r="K45" s="58"/>
      <c r="L45" s="61"/>
      <c r="M45" s="58">
        <f t="shared" si="2"/>
        <v>0</v>
      </c>
      <c r="N45" s="58">
        <f t="shared" si="3"/>
        <v>0</v>
      </c>
      <c r="O45" s="1"/>
      <c r="P45" s="1"/>
      <c r="Q45" s="1"/>
    </row>
    <row r="46" ht="15.75" customHeight="1">
      <c r="A46" s="21"/>
      <c r="B46" s="54" t="s">
        <v>96</v>
      </c>
      <c r="C46" s="54" t="s">
        <v>94</v>
      </c>
      <c r="D46" s="55" t="s">
        <v>97</v>
      </c>
      <c r="E46" s="55"/>
      <c r="F46" s="56">
        <v>437274.1</v>
      </c>
      <c r="G46" s="62"/>
      <c r="H46" s="58">
        <f t="shared" si="1"/>
        <v>437274.1</v>
      </c>
      <c r="I46" s="58">
        <f>SUM('Continuation Sheet'!I46:O46)</f>
        <v>383782.04</v>
      </c>
      <c r="J46" s="61">
        <f>15459.94+904.05+3271.01+553.3</f>
        <v>20188.3</v>
      </c>
      <c r="K46" s="58">
        <f>154361.29+18081+11066+12130.32</f>
        <v>195638.61</v>
      </c>
      <c r="L46" s="61"/>
      <c r="M46" s="58">
        <f t="shared" si="2"/>
        <v>215826.91</v>
      </c>
      <c r="N46" s="58">
        <f t="shared" si="3"/>
        <v>-162334.85</v>
      </c>
      <c r="O46" s="1"/>
      <c r="P46" s="1"/>
      <c r="Q46" s="1"/>
    </row>
    <row r="47" ht="15.75" customHeight="1">
      <c r="A47" s="21"/>
      <c r="B47" s="54" t="s">
        <v>98</v>
      </c>
      <c r="C47" s="54" t="s">
        <v>94</v>
      </c>
      <c r="D47" s="55" t="s">
        <v>99</v>
      </c>
      <c r="E47" s="55"/>
      <c r="F47" s="56">
        <v>10245.0</v>
      </c>
      <c r="G47" s="62"/>
      <c r="H47" s="58">
        <f t="shared" si="1"/>
        <v>10245</v>
      </c>
      <c r="I47" s="58">
        <f>SUM('Continuation Sheet'!I47:O47)</f>
        <v>0</v>
      </c>
      <c r="J47" s="61"/>
      <c r="K47" s="58"/>
      <c r="L47" s="61"/>
      <c r="M47" s="58">
        <f t="shared" si="2"/>
        <v>0</v>
      </c>
      <c r="N47" s="58">
        <f t="shared" si="3"/>
        <v>10245</v>
      </c>
      <c r="O47" s="1"/>
      <c r="P47" s="1"/>
      <c r="Q47" s="1"/>
    </row>
    <row r="48" ht="15.75" customHeight="1">
      <c r="A48" s="21"/>
      <c r="B48" s="54" t="s">
        <v>100</v>
      </c>
      <c r="C48" s="54" t="s">
        <v>94</v>
      </c>
      <c r="D48" s="55" t="s">
        <v>101</v>
      </c>
      <c r="E48" s="55"/>
      <c r="F48" s="56">
        <v>4250.0</v>
      </c>
      <c r="G48" s="62"/>
      <c r="H48" s="58">
        <f t="shared" si="1"/>
        <v>4250</v>
      </c>
      <c r="I48" s="58">
        <f>SUM('Continuation Sheet'!I48:O48)</f>
        <v>0</v>
      </c>
      <c r="J48" s="61"/>
      <c r="K48" s="58"/>
      <c r="L48" s="61"/>
      <c r="M48" s="58">
        <f t="shared" si="2"/>
        <v>0</v>
      </c>
      <c r="N48" s="58">
        <f t="shared" si="3"/>
        <v>4250</v>
      </c>
      <c r="O48" s="1"/>
      <c r="P48" s="1"/>
      <c r="Q48" s="1"/>
    </row>
    <row r="49" ht="15.75" customHeight="1">
      <c r="A49" s="21"/>
      <c r="B49" s="54" t="s">
        <v>102</v>
      </c>
      <c r="C49" s="54" t="s">
        <v>94</v>
      </c>
      <c r="D49" s="55" t="s">
        <v>103</v>
      </c>
      <c r="E49" s="55"/>
      <c r="F49" s="56">
        <v>1600.0</v>
      </c>
      <c r="G49" s="62"/>
      <c r="H49" s="58">
        <f t="shared" si="1"/>
        <v>1600</v>
      </c>
      <c r="I49" s="58">
        <f>SUM('Continuation Sheet'!I49:O49)</f>
        <v>0</v>
      </c>
      <c r="J49" s="61"/>
      <c r="K49" s="58"/>
      <c r="L49" s="61"/>
      <c r="M49" s="58">
        <f t="shared" si="2"/>
        <v>0</v>
      </c>
      <c r="N49" s="58">
        <f t="shared" si="3"/>
        <v>1600</v>
      </c>
      <c r="O49" s="1"/>
      <c r="P49" s="1"/>
      <c r="Q49" s="1"/>
    </row>
    <row r="50" ht="15.75" customHeight="1">
      <c r="A50" s="21"/>
      <c r="B50" s="54" t="s">
        <v>104</v>
      </c>
      <c r="C50" s="54" t="s">
        <v>94</v>
      </c>
      <c r="D50" s="55" t="s">
        <v>105</v>
      </c>
      <c r="E50" s="55"/>
      <c r="F50" s="56">
        <v>37850.0</v>
      </c>
      <c r="G50" s="62"/>
      <c r="H50" s="58">
        <f t="shared" si="1"/>
        <v>37850</v>
      </c>
      <c r="I50" s="58">
        <f>SUM('Continuation Sheet'!I50:O50)</f>
        <v>0</v>
      </c>
      <c r="J50" s="61"/>
      <c r="K50" s="58"/>
      <c r="L50" s="61"/>
      <c r="M50" s="58">
        <f t="shared" si="2"/>
        <v>0</v>
      </c>
      <c r="N50" s="58">
        <f t="shared" si="3"/>
        <v>37850</v>
      </c>
      <c r="O50" s="1"/>
      <c r="P50" s="1"/>
      <c r="Q50" s="1"/>
    </row>
    <row r="51" ht="15.75" customHeight="1">
      <c r="A51" s="21"/>
      <c r="B51" s="54" t="s">
        <v>106</v>
      </c>
      <c r="C51" s="54" t="s">
        <v>94</v>
      </c>
      <c r="D51" s="55" t="s">
        <v>107</v>
      </c>
      <c r="E51" s="55"/>
      <c r="F51" s="56">
        <v>257092.0</v>
      </c>
      <c r="G51" s="62"/>
      <c r="H51" s="58">
        <f t="shared" si="1"/>
        <v>257092</v>
      </c>
      <c r="I51" s="58">
        <f>SUM('Continuation Sheet'!I51:O51)</f>
        <v>0</v>
      </c>
      <c r="J51" s="61"/>
      <c r="K51" s="59">
        <v>257092.0</v>
      </c>
      <c r="L51" s="61"/>
      <c r="M51" s="58">
        <f t="shared" si="2"/>
        <v>257092</v>
      </c>
      <c r="N51" s="58">
        <f t="shared" si="3"/>
        <v>0</v>
      </c>
      <c r="O51" s="1"/>
      <c r="P51" s="1"/>
      <c r="Q51" s="1"/>
    </row>
    <row r="52" ht="15.75" customHeight="1">
      <c r="A52" s="21"/>
      <c r="B52" s="54" t="s">
        <v>108</v>
      </c>
      <c r="C52" s="54" t="s">
        <v>94</v>
      </c>
      <c r="D52" s="55" t="s">
        <v>109</v>
      </c>
      <c r="E52" s="55"/>
      <c r="F52" s="56">
        <v>2450.0</v>
      </c>
      <c r="G52" s="62"/>
      <c r="H52" s="58">
        <f t="shared" si="1"/>
        <v>2450</v>
      </c>
      <c r="I52" s="58">
        <f>SUM('Continuation Sheet'!I52:O52)</f>
        <v>0</v>
      </c>
      <c r="J52" s="61"/>
      <c r="K52" s="59">
        <v>2450.0</v>
      </c>
      <c r="L52" s="61"/>
      <c r="M52" s="58">
        <f t="shared" si="2"/>
        <v>2450</v>
      </c>
      <c r="N52" s="58">
        <f t="shared" si="3"/>
        <v>0</v>
      </c>
      <c r="O52" s="1"/>
      <c r="P52" s="1"/>
      <c r="Q52" s="1"/>
    </row>
    <row r="53" ht="15.75" customHeight="1">
      <c r="A53" s="21"/>
      <c r="B53" s="54" t="s">
        <v>110</v>
      </c>
      <c r="C53" s="54" t="s">
        <v>111</v>
      </c>
      <c r="D53" s="55" t="s">
        <v>112</v>
      </c>
      <c r="E53" s="55"/>
      <c r="F53" s="56">
        <v>184000.0</v>
      </c>
      <c r="G53" s="57">
        <v>-15000.0</v>
      </c>
      <c r="H53" s="58">
        <f t="shared" si="1"/>
        <v>169000</v>
      </c>
      <c r="I53" s="58">
        <f>SUM('Continuation Sheet'!I53:O53)</f>
        <v>0</v>
      </c>
      <c r="J53" s="61"/>
      <c r="K53" s="59">
        <v>169000.0</v>
      </c>
      <c r="L53" s="61"/>
      <c r="M53" s="58">
        <f t="shared" si="2"/>
        <v>169000</v>
      </c>
      <c r="N53" s="58">
        <f t="shared" si="3"/>
        <v>0</v>
      </c>
      <c r="O53" s="1"/>
      <c r="P53" s="1"/>
      <c r="Q53" s="1"/>
    </row>
    <row r="54" ht="15.75" customHeight="1">
      <c r="A54" s="21"/>
      <c r="B54" s="54" t="s">
        <v>113</v>
      </c>
      <c r="C54" s="54" t="s">
        <v>111</v>
      </c>
      <c r="D54" s="55" t="s">
        <v>114</v>
      </c>
      <c r="E54" s="55"/>
      <c r="F54" s="56">
        <v>517942.26</v>
      </c>
      <c r="G54" s="62"/>
      <c r="H54" s="58">
        <f t="shared" si="1"/>
        <v>517942.26</v>
      </c>
      <c r="I54" s="58">
        <f>SUM('Continuation Sheet'!I54:O54)</f>
        <v>520418.99</v>
      </c>
      <c r="J54" s="61"/>
      <c r="K54" s="58"/>
      <c r="L54" s="61"/>
      <c r="M54" s="58">
        <f t="shared" si="2"/>
        <v>0</v>
      </c>
      <c r="N54" s="58">
        <f t="shared" si="3"/>
        <v>-2476.73</v>
      </c>
      <c r="O54" s="1"/>
      <c r="P54" s="1"/>
      <c r="Q54" s="1"/>
    </row>
    <row r="55" ht="15.75" customHeight="1">
      <c r="A55" s="21"/>
      <c r="B55" s="54" t="s">
        <v>115</v>
      </c>
      <c r="C55" s="54" t="s">
        <v>111</v>
      </c>
      <c r="D55" s="55" t="s">
        <v>116</v>
      </c>
      <c r="E55" s="55"/>
      <c r="F55" s="56">
        <v>15000.0</v>
      </c>
      <c r="G55" s="62"/>
      <c r="H55" s="58">
        <f t="shared" si="1"/>
        <v>15000</v>
      </c>
      <c r="I55" s="58">
        <f>SUM('Continuation Sheet'!I55:O55)</f>
        <v>0</v>
      </c>
      <c r="J55" s="61"/>
      <c r="K55" s="59">
        <f>15000</f>
        <v>15000</v>
      </c>
      <c r="L55" s="60">
        <v>20000.0</v>
      </c>
      <c r="M55" s="58">
        <f t="shared" si="2"/>
        <v>35000</v>
      </c>
      <c r="N55" s="58">
        <f t="shared" si="3"/>
        <v>-20000</v>
      </c>
      <c r="O55" s="1"/>
      <c r="P55" s="49" t="s">
        <v>117</v>
      </c>
      <c r="Q55" s="1"/>
    </row>
    <row r="56" ht="15.75" customHeight="1">
      <c r="A56" s="21"/>
      <c r="B56" s="54" t="s">
        <v>118</v>
      </c>
      <c r="C56" s="54" t="s">
        <v>111</v>
      </c>
      <c r="D56" s="55" t="s">
        <v>119</v>
      </c>
      <c r="E56" s="55"/>
      <c r="F56" s="56">
        <v>25000.0</v>
      </c>
      <c r="G56" s="62"/>
      <c r="H56" s="58">
        <f t="shared" si="1"/>
        <v>25000</v>
      </c>
      <c r="I56" s="58">
        <f>SUM('Continuation Sheet'!I56:O56)</f>
        <v>7222.64</v>
      </c>
      <c r="J56" s="61"/>
      <c r="K56" s="58"/>
      <c r="L56" s="61"/>
      <c r="M56" s="58">
        <f t="shared" si="2"/>
        <v>0</v>
      </c>
      <c r="N56" s="58">
        <f t="shared" si="3"/>
        <v>17777.36</v>
      </c>
      <c r="O56" s="1"/>
      <c r="P56" s="1"/>
      <c r="Q56" s="1"/>
    </row>
    <row r="57" ht="15.75" customHeight="1">
      <c r="A57" s="21"/>
      <c r="B57" s="54" t="s">
        <v>120</v>
      </c>
      <c r="C57" s="54" t="s">
        <v>111</v>
      </c>
      <c r="D57" s="55" t="s">
        <v>121</v>
      </c>
      <c r="E57" s="55"/>
      <c r="F57" s="56">
        <v>8000.0</v>
      </c>
      <c r="G57" s="62"/>
      <c r="H57" s="58">
        <f t="shared" si="1"/>
        <v>8000</v>
      </c>
      <c r="I57" s="58">
        <f>SUM('Continuation Sheet'!I57:O57)</f>
        <v>0</v>
      </c>
      <c r="J57" s="61"/>
      <c r="K57" s="59">
        <v>8000.0</v>
      </c>
      <c r="L57" s="61"/>
      <c r="M57" s="58">
        <f t="shared" si="2"/>
        <v>8000</v>
      </c>
      <c r="N57" s="58">
        <f t="shared" si="3"/>
        <v>0</v>
      </c>
      <c r="O57" s="1"/>
      <c r="P57" s="49" t="s">
        <v>122</v>
      </c>
      <c r="Q57" s="1"/>
    </row>
    <row r="58" ht="15.75" customHeight="1">
      <c r="A58" s="21"/>
      <c r="B58" s="54" t="s">
        <v>123</v>
      </c>
      <c r="C58" s="54" t="s">
        <v>111</v>
      </c>
      <c r="D58" s="55" t="s">
        <v>124</v>
      </c>
      <c r="E58" s="55"/>
      <c r="F58" s="56">
        <v>42500.0</v>
      </c>
      <c r="G58" s="62"/>
      <c r="H58" s="58">
        <f t="shared" si="1"/>
        <v>42500</v>
      </c>
      <c r="I58" s="58">
        <f>SUM('Continuation Sheet'!I58:O58)</f>
        <v>26645.75</v>
      </c>
      <c r="J58" s="60">
        <v>1402.41</v>
      </c>
      <c r="K58" s="59">
        <v>17943.84</v>
      </c>
      <c r="L58" s="61"/>
      <c r="M58" s="58">
        <f t="shared" si="2"/>
        <v>19346.25</v>
      </c>
      <c r="N58" s="58">
        <f t="shared" si="3"/>
        <v>-3492</v>
      </c>
      <c r="O58" s="1"/>
      <c r="P58" s="1"/>
      <c r="Q58" s="1"/>
    </row>
    <row r="59" ht="15.75" customHeight="1">
      <c r="A59" s="21"/>
      <c r="B59" s="54" t="s">
        <v>125</v>
      </c>
      <c r="C59" s="54" t="s">
        <v>126</v>
      </c>
      <c r="D59" s="55" t="s">
        <v>127</v>
      </c>
      <c r="E59" s="55"/>
      <c r="F59" s="56">
        <v>250000.0</v>
      </c>
      <c r="G59" s="57">
        <v>-43882.07</v>
      </c>
      <c r="H59" s="58">
        <f t="shared" si="1"/>
        <v>206117.93</v>
      </c>
      <c r="I59" s="58">
        <f>SUM('Continuation Sheet'!I59:O59)</f>
        <v>166495.25</v>
      </c>
      <c r="J59" s="61"/>
      <c r="K59" s="58"/>
      <c r="L59" s="61"/>
      <c r="M59" s="58">
        <f t="shared" si="2"/>
        <v>0</v>
      </c>
      <c r="N59" s="58">
        <f t="shared" si="3"/>
        <v>39622.68</v>
      </c>
      <c r="O59" s="1"/>
      <c r="P59" s="1"/>
      <c r="Q59" s="1"/>
    </row>
    <row r="60" ht="15.75" customHeight="1">
      <c r="A60" s="21"/>
      <c r="B60" s="54" t="s">
        <v>128</v>
      </c>
      <c r="C60" s="54" t="s">
        <v>126</v>
      </c>
      <c r="D60" s="55" t="s">
        <v>129</v>
      </c>
      <c r="E60" s="55"/>
      <c r="F60" s="56">
        <v>25000.0</v>
      </c>
      <c r="G60" s="62"/>
      <c r="H60" s="58">
        <f t="shared" si="1"/>
        <v>25000</v>
      </c>
      <c r="I60" s="58">
        <f>SUM('Continuation Sheet'!I60:O60)</f>
        <v>25000</v>
      </c>
      <c r="J60" s="61"/>
      <c r="K60" s="58"/>
      <c r="L60" s="61"/>
      <c r="M60" s="58">
        <f t="shared" si="2"/>
        <v>0</v>
      </c>
      <c r="N60" s="58">
        <f t="shared" si="3"/>
        <v>0</v>
      </c>
      <c r="O60" s="1"/>
      <c r="P60" s="1"/>
      <c r="Q60" s="1"/>
    </row>
    <row r="61" ht="15.75" customHeight="1">
      <c r="A61" s="21"/>
      <c r="B61" s="54" t="s">
        <v>130</v>
      </c>
      <c r="C61" s="54" t="s">
        <v>126</v>
      </c>
      <c r="D61" s="55" t="s">
        <v>131</v>
      </c>
      <c r="E61" s="55"/>
      <c r="F61" s="56">
        <v>7000.0</v>
      </c>
      <c r="G61" s="62"/>
      <c r="H61" s="58">
        <f t="shared" si="1"/>
        <v>7000</v>
      </c>
      <c r="I61" s="58">
        <f>SUM('Continuation Sheet'!I61:O61)</f>
        <v>6856.9</v>
      </c>
      <c r="J61" s="61"/>
      <c r="K61" s="59">
        <v>3500.0</v>
      </c>
      <c r="L61" s="61"/>
      <c r="M61" s="58">
        <f t="shared" si="2"/>
        <v>3500</v>
      </c>
      <c r="N61" s="58">
        <f t="shared" si="3"/>
        <v>-3356.9</v>
      </c>
      <c r="O61" s="1"/>
      <c r="P61" s="1"/>
      <c r="Q61" s="1"/>
    </row>
    <row r="62" ht="15.75" customHeight="1">
      <c r="A62" s="21"/>
      <c r="B62" s="54" t="s">
        <v>132</v>
      </c>
      <c r="C62" s="54" t="s">
        <v>126</v>
      </c>
      <c r="D62" s="55" t="s">
        <v>133</v>
      </c>
      <c r="E62" s="55"/>
      <c r="F62" s="56">
        <v>25000.0</v>
      </c>
      <c r="G62" s="57">
        <v>815.83</v>
      </c>
      <c r="H62" s="58">
        <f t="shared" si="1"/>
        <v>25815.83</v>
      </c>
      <c r="I62" s="58">
        <f>SUM('Continuation Sheet'!I62:O62)</f>
        <v>25815.83</v>
      </c>
      <c r="J62" s="61"/>
      <c r="K62" s="59">
        <v>20000.0</v>
      </c>
      <c r="L62" s="61"/>
      <c r="M62" s="58">
        <f t="shared" si="2"/>
        <v>20000</v>
      </c>
      <c r="N62" s="58">
        <f t="shared" si="3"/>
        <v>-20000</v>
      </c>
      <c r="O62" s="1"/>
      <c r="P62" s="1"/>
      <c r="Q62" s="1"/>
    </row>
    <row r="63" ht="15.75" customHeight="1">
      <c r="A63" s="21"/>
      <c r="B63" s="54" t="s">
        <v>134</v>
      </c>
      <c r="C63" s="54" t="s">
        <v>126</v>
      </c>
      <c r="D63" s="55" t="s">
        <v>135</v>
      </c>
      <c r="E63" s="55"/>
      <c r="F63" s="56">
        <v>6000.0</v>
      </c>
      <c r="G63" s="62"/>
      <c r="H63" s="58">
        <f t="shared" si="1"/>
        <v>6000</v>
      </c>
      <c r="I63" s="58">
        <f>SUM('Continuation Sheet'!I63:O63)</f>
        <v>0</v>
      </c>
      <c r="J63" s="61"/>
      <c r="K63" s="58"/>
      <c r="L63" s="61"/>
      <c r="M63" s="58">
        <f t="shared" si="2"/>
        <v>0</v>
      </c>
      <c r="N63" s="58">
        <f t="shared" si="3"/>
        <v>6000</v>
      </c>
      <c r="O63" s="1"/>
      <c r="P63" s="1"/>
      <c r="Q63" s="1"/>
    </row>
    <row r="64" ht="15.75" customHeight="1">
      <c r="A64" s="21"/>
      <c r="B64" s="54" t="s">
        <v>136</v>
      </c>
      <c r="C64" s="54" t="s">
        <v>126</v>
      </c>
      <c r="D64" s="55" t="s">
        <v>137</v>
      </c>
      <c r="E64" s="55"/>
      <c r="F64" s="56">
        <v>30000.0</v>
      </c>
      <c r="G64" s="62"/>
      <c r="H64" s="58">
        <f t="shared" si="1"/>
        <v>30000</v>
      </c>
      <c r="I64" s="58">
        <f>SUM('Continuation Sheet'!I64:O64)</f>
        <v>14395</v>
      </c>
      <c r="J64" s="61"/>
      <c r="K64" s="59">
        <v>15605.0</v>
      </c>
      <c r="L64" s="61"/>
      <c r="M64" s="58">
        <f t="shared" si="2"/>
        <v>15605</v>
      </c>
      <c r="N64" s="58">
        <f t="shared" si="3"/>
        <v>0</v>
      </c>
      <c r="O64" s="1"/>
      <c r="P64" s="1"/>
      <c r="Q64" s="1"/>
    </row>
    <row r="65" ht="15.75" customHeight="1">
      <c r="A65" s="21"/>
      <c r="B65" s="54" t="s">
        <v>138</v>
      </c>
      <c r="C65" s="54" t="s">
        <v>126</v>
      </c>
      <c r="D65" s="55" t="s">
        <v>139</v>
      </c>
      <c r="E65" s="55"/>
      <c r="F65" s="56">
        <v>50000.0</v>
      </c>
      <c r="G65" s="62"/>
      <c r="H65" s="58">
        <f t="shared" si="1"/>
        <v>50000</v>
      </c>
      <c r="I65" s="58">
        <f>SUM('Continuation Sheet'!I65:O65)</f>
        <v>0</v>
      </c>
      <c r="J65" s="61"/>
      <c r="K65" s="59">
        <v>50000.0</v>
      </c>
      <c r="L65" s="61"/>
      <c r="M65" s="58">
        <f t="shared" si="2"/>
        <v>50000</v>
      </c>
      <c r="N65" s="58">
        <f t="shared" si="3"/>
        <v>0</v>
      </c>
      <c r="O65" s="1"/>
      <c r="P65" s="1"/>
      <c r="Q65" s="1"/>
    </row>
    <row r="66" ht="15.75" customHeight="1">
      <c r="A66" s="21"/>
      <c r="B66" s="54" t="s">
        <v>140</v>
      </c>
      <c r="C66" s="54" t="s">
        <v>126</v>
      </c>
      <c r="D66" s="55" t="s">
        <v>141</v>
      </c>
      <c r="E66" s="55"/>
      <c r="F66" s="56">
        <v>5000.0</v>
      </c>
      <c r="G66" s="62"/>
      <c r="H66" s="58">
        <f t="shared" si="1"/>
        <v>5000</v>
      </c>
      <c r="I66" s="58">
        <f>SUM('Continuation Sheet'!I66:O66)</f>
        <v>0</v>
      </c>
      <c r="J66" s="61"/>
      <c r="K66" s="59">
        <v>5000.0</v>
      </c>
      <c r="L66" s="61"/>
      <c r="M66" s="58">
        <f t="shared" si="2"/>
        <v>5000</v>
      </c>
      <c r="N66" s="58">
        <f t="shared" si="3"/>
        <v>0</v>
      </c>
      <c r="O66" s="1"/>
      <c r="P66" s="1"/>
      <c r="Q66" s="1"/>
    </row>
    <row r="67" ht="15.75" customHeight="1">
      <c r="A67" s="21"/>
      <c r="B67" s="54" t="s">
        <v>142</v>
      </c>
      <c r="C67" s="54" t="s">
        <v>126</v>
      </c>
      <c r="D67" s="55" t="s">
        <v>143</v>
      </c>
      <c r="E67" s="55"/>
      <c r="F67" s="56">
        <v>5000.0</v>
      </c>
      <c r="G67" s="62"/>
      <c r="H67" s="58">
        <f t="shared" si="1"/>
        <v>5000</v>
      </c>
      <c r="I67" s="58">
        <f>SUM('Continuation Sheet'!I67:O67)</f>
        <v>0</v>
      </c>
      <c r="J67" s="61"/>
      <c r="K67" s="58"/>
      <c r="L67" s="61"/>
      <c r="M67" s="58">
        <f t="shared" si="2"/>
        <v>0</v>
      </c>
      <c r="N67" s="58">
        <f t="shared" si="3"/>
        <v>5000</v>
      </c>
      <c r="O67" s="1"/>
      <c r="P67" s="1"/>
      <c r="Q67" s="1"/>
    </row>
    <row r="68" ht="15.75" customHeight="1">
      <c r="A68" s="21"/>
      <c r="B68" s="54" t="s">
        <v>144</v>
      </c>
      <c r="C68" s="54" t="s">
        <v>126</v>
      </c>
      <c r="D68" s="55" t="s">
        <v>145</v>
      </c>
      <c r="E68" s="55"/>
      <c r="F68" s="56">
        <v>3500.0</v>
      </c>
      <c r="G68" s="57">
        <v>140.0</v>
      </c>
      <c r="H68" s="58">
        <f t="shared" si="1"/>
        <v>3640</v>
      </c>
      <c r="I68" s="58">
        <f>SUM('Continuation Sheet'!I68:O68)</f>
        <v>3640</v>
      </c>
      <c r="J68" s="61"/>
      <c r="K68" s="59">
        <v>3000.0</v>
      </c>
      <c r="L68" s="61"/>
      <c r="M68" s="58">
        <f t="shared" si="2"/>
        <v>3000</v>
      </c>
      <c r="N68" s="58">
        <f t="shared" si="3"/>
        <v>-3000</v>
      </c>
      <c r="O68" s="1"/>
      <c r="P68" s="1"/>
      <c r="Q68" s="1"/>
    </row>
    <row r="69" ht="15.75" customHeight="1">
      <c r="A69" s="21"/>
      <c r="B69" s="54" t="s">
        <v>146</v>
      </c>
      <c r="C69" s="54" t="s">
        <v>126</v>
      </c>
      <c r="D69" s="55" t="s">
        <v>147</v>
      </c>
      <c r="E69" s="55"/>
      <c r="F69" s="56">
        <v>7500.0</v>
      </c>
      <c r="G69" s="62"/>
      <c r="H69" s="58">
        <f t="shared" si="1"/>
        <v>7500</v>
      </c>
      <c r="I69" s="58">
        <f>SUM('Continuation Sheet'!I69:O69)</f>
        <v>4958.13</v>
      </c>
      <c r="J69" s="61"/>
      <c r="K69" s="59">
        <v>2541.87</v>
      </c>
      <c r="L69" s="61"/>
      <c r="M69" s="58">
        <f t="shared" si="2"/>
        <v>2541.87</v>
      </c>
      <c r="N69" s="58">
        <f t="shared" si="3"/>
        <v>0</v>
      </c>
      <c r="O69" s="1"/>
      <c r="P69" s="1"/>
      <c r="Q69" s="1"/>
    </row>
    <row r="70" ht="15.75" customHeight="1">
      <c r="A70" s="21"/>
      <c r="B70" s="54" t="s">
        <v>148</v>
      </c>
      <c r="C70" s="54" t="s">
        <v>126</v>
      </c>
      <c r="D70" s="55" t="s">
        <v>149</v>
      </c>
      <c r="E70" s="55"/>
      <c r="F70" s="56">
        <v>15000.0</v>
      </c>
      <c r="G70" s="62"/>
      <c r="H70" s="58">
        <f t="shared" si="1"/>
        <v>15000</v>
      </c>
      <c r="I70" s="58">
        <f>SUM('Continuation Sheet'!I70:O70)</f>
        <v>6462.81</v>
      </c>
      <c r="J70" s="61"/>
      <c r="K70" s="59">
        <v>8537.19</v>
      </c>
      <c r="L70" s="61"/>
      <c r="M70" s="58">
        <f t="shared" si="2"/>
        <v>8537.19</v>
      </c>
      <c r="N70" s="58">
        <f t="shared" si="3"/>
        <v>0</v>
      </c>
      <c r="O70" s="1"/>
      <c r="P70" s="1"/>
      <c r="Q70" s="1"/>
    </row>
    <row r="71" ht="15.75" customHeight="1">
      <c r="A71" s="21"/>
      <c r="B71" s="54" t="s">
        <v>150</v>
      </c>
      <c r="C71" s="54" t="s">
        <v>126</v>
      </c>
      <c r="D71" s="55" t="s">
        <v>151</v>
      </c>
      <c r="E71" s="55"/>
      <c r="F71" s="56">
        <v>30000.0</v>
      </c>
      <c r="G71" s="62"/>
      <c r="H71" s="58">
        <f t="shared" si="1"/>
        <v>30000</v>
      </c>
      <c r="I71" s="58">
        <f>SUM('Continuation Sheet'!I71:O71)</f>
        <v>12423.09</v>
      </c>
      <c r="J71" s="61"/>
      <c r="K71" s="59">
        <v>10000.0</v>
      </c>
      <c r="L71" s="61"/>
      <c r="M71" s="58">
        <f t="shared" si="2"/>
        <v>10000</v>
      </c>
      <c r="N71" s="58">
        <f t="shared" si="3"/>
        <v>7576.91</v>
      </c>
      <c r="O71" s="1"/>
      <c r="P71" s="49" t="s">
        <v>152</v>
      </c>
      <c r="Q71" s="1"/>
    </row>
    <row r="72" ht="15.75" customHeight="1">
      <c r="A72" s="21"/>
      <c r="B72" s="54" t="s">
        <v>153</v>
      </c>
      <c r="C72" s="54" t="s">
        <v>126</v>
      </c>
      <c r="D72" s="55" t="s">
        <v>154</v>
      </c>
      <c r="E72" s="55"/>
      <c r="F72" s="56">
        <v>15000.0</v>
      </c>
      <c r="G72" s="62"/>
      <c r="H72" s="58">
        <f t="shared" si="1"/>
        <v>15000</v>
      </c>
      <c r="I72" s="58">
        <f>SUM('Continuation Sheet'!I72:O72)</f>
        <v>14393.68</v>
      </c>
      <c r="J72" s="61"/>
      <c r="K72" s="59">
        <v>606.32</v>
      </c>
      <c r="L72" s="61"/>
      <c r="M72" s="58">
        <f t="shared" si="2"/>
        <v>606.32</v>
      </c>
      <c r="N72" s="58">
        <f t="shared" si="3"/>
        <v>0</v>
      </c>
      <c r="O72" s="1"/>
      <c r="P72" s="1"/>
      <c r="Q72" s="1"/>
    </row>
    <row r="73" ht="15.75" customHeight="1">
      <c r="A73" s="21"/>
      <c r="B73" s="54" t="s">
        <v>155</v>
      </c>
      <c r="C73" s="54" t="s">
        <v>126</v>
      </c>
      <c r="D73" s="55" t="s">
        <v>156</v>
      </c>
      <c r="E73" s="55"/>
      <c r="F73" s="56">
        <v>10000.0</v>
      </c>
      <c r="G73" s="57">
        <v>-5000.0</v>
      </c>
      <c r="H73" s="58">
        <f t="shared" si="1"/>
        <v>5000</v>
      </c>
      <c r="I73" s="58">
        <f>SUM('Continuation Sheet'!I73:O73)</f>
        <v>0</v>
      </c>
      <c r="J73" s="61"/>
      <c r="K73" s="58"/>
      <c r="L73" s="61"/>
      <c r="M73" s="58">
        <f t="shared" si="2"/>
        <v>0</v>
      </c>
      <c r="N73" s="58">
        <f t="shared" si="3"/>
        <v>5000</v>
      </c>
      <c r="O73" s="1"/>
      <c r="P73" s="1"/>
      <c r="Q73" s="1"/>
    </row>
    <row r="74" ht="15.75" customHeight="1">
      <c r="A74" s="21"/>
      <c r="B74" s="54" t="s">
        <v>157</v>
      </c>
      <c r="C74" s="54" t="s">
        <v>126</v>
      </c>
      <c r="D74" s="55" t="s">
        <v>158</v>
      </c>
      <c r="E74" s="55"/>
      <c r="F74" s="56">
        <v>30000.0</v>
      </c>
      <c r="G74" s="62"/>
      <c r="H74" s="58">
        <f t="shared" si="1"/>
        <v>30000</v>
      </c>
      <c r="I74" s="58">
        <f>SUM('Continuation Sheet'!I74:O74)</f>
        <v>3914.39</v>
      </c>
      <c r="J74" s="61"/>
      <c r="K74" s="59">
        <v>26085.61</v>
      </c>
      <c r="L74" s="61"/>
      <c r="M74" s="58">
        <f t="shared" si="2"/>
        <v>26085.61</v>
      </c>
      <c r="N74" s="58">
        <f t="shared" si="3"/>
        <v>0</v>
      </c>
      <c r="O74" s="1"/>
      <c r="P74" s="1"/>
      <c r="Q74" s="1"/>
    </row>
    <row r="75" ht="15.75" customHeight="1">
      <c r="A75" s="21"/>
      <c r="B75" s="54" t="s">
        <v>159</v>
      </c>
      <c r="C75" s="54" t="s">
        <v>126</v>
      </c>
      <c r="D75" s="55" t="s">
        <v>160</v>
      </c>
      <c r="E75" s="55"/>
      <c r="F75" s="56">
        <v>25000.0</v>
      </c>
      <c r="G75" s="62"/>
      <c r="H75" s="58">
        <f t="shared" si="1"/>
        <v>25000</v>
      </c>
      <c r="I75" s="58">
        <f>SUM('Continuation Sheet'!I75:O75)</f>
        <v>19.98</v>
      </c>
      <c r="J75" s="61"/>
      <c r="K75" s="58"/>
      <c r="L75" s="61"/>
      <c r="M75" s="58">
        <f t="shared" si="2"/>
        <v>0</v>
      </c>
      <c r="N75" s="58">
        <f t="shared" si="3"/>
        <v>24980.02</v>
      </c>
      <c r="O75" s="1"/>
      <c r="P75" s="1"/>
      <c r="Q75" s="1"/>
    </row>
    <row r="76" ht="15.75" customHeight="1">
      <c r="A76" s="21"/>
      <c r="B76" s="54" t="s">
        <v>161</v>
      </c>
      <c r="C76" s="54" t="s">
        <v>126</v>
      </c>
      <c r="D76" s="55" t="s">
        <v>162</v>
      </c>
      <c r="E76" s="55"/>
      <c r="F76" s="56">
        <v>240000.0</v>
      </c>
      <c r="G76" s="62"/>
      <c r="H76" s="58">
        <f t="shared" si="1"/>
        <v>240000</v>
      </c>
      <c r="I76" s="58">
        <f>SUM('Continuation Sheet'!I76:O76)</f>
        <v>183225</v>
      </c>
      <c r="J76" s="61"/>
      <c r="K76" s="58">
        <f>17500*5</f>
        <v>87500</v>
      </c>
      <c r="L76" s="61"/>
      <c r="M76" s="58">
        <f t="shared" si="2"/>
        <v>87500</v>
      </c>
      <c r="N76" s="58">
        <f t="shared" si="3"/>
        <v>-30725</v>
      </c>
      <c r="O76" s="1"/>
      <c r="P76" s="1"/>
      <c r="Q76" s="1"/>
    </row>
    <row r="77" ht="15.75" customHeight="1">
      <c r="A77" s="21"/>
      <c r="B77" s="54" t="s">
        <v>163</v>
      </c>
      <c r="C77" s="54" t="s">
        <v>126</v>
      </c>
      <c r="D77" s="55" t="s">
        <v>164</v>
      </c>
      <c r="E77" s="55"/>
      <c r="F77" s="56">
        <v>6583.94</v>
      </c>
      <c r="G77" s="62"/>
      <c r="H77" s="58">
        <f t="shared" si="1"/>
        <v>6583.94</v>
      </c>
      <c r="I77" s="58">
        <f>SUM('Continuation Sheet'!I77:O77)</f>
        <v>0</v>
      </c>
      <c r="J77" s="61"/>
      <c r="K77" s="59">
        <v>606582.0</v>
      </c>
      <c r="L77" s="61"/>
      <c r="M77" s="58">
        <f t="shared" si="2"/>
        <v>606582</v>
      </c>
      <c r="N77" s="58">
        <f t="shared" si="3"/>
        <v>-599998.06</v>
      </c>
      <c r="O77" s="1"/>
      <c r="P77" s="1"/>
      <c r="Q77" s="1"/>
    </row>
    <row r="78" ht="15.75" customHeight="1">
      <c r="A78" s="21"/>
      <c r="B78" s="54" t="s">
        <v>165</v>
      </c>
      <c r="C78" s="54" t="s">
        <v>126</v>
      </c>
      <c r="D78" s="55" t="s">
        <v>166</v>
      </c>
      <c r="E78" s="55"/>
      <c r="F78" s="56">
        <v>483915.5</v>
      </c>
      <c r="G78" s="57">
        <v>276202.41</v>
      </c>
      <c r="H78" s="58">
        <f t="shared" si="1"/>
        <v>760117.91</v>
      </c>
      <c r="I78" s="58">
        <f>SUM('Continuation Sheet'!I78:O78)</f>
        <v>760117.91</v>
      </c>
      <c r="J78" s="61"/>
      <c r="K78" s="58"/>
      <c r="L78" s="61"/>
      <c r="M78" s="58">
        <f t="shared" si="2"/>
        <v>0</v>
      </c>
      <c r="N78" s="58">
        <f t="shared" si="3"/>
        <v>-0.0000000001164153218</v>
      </c>
      <c r="O78" s="49"/>
      <c r="P78" s="49"/>
      <c r="Q78" s="49"/>
    </row>
    <row r="79" ht="15.75" customHeight="1">
      <c r="A79" s="1"/>
      <c r="B79" s="1"/>
      <c r="C79" s="65"/>
      <c r="D79" s="66"/>
      <c r="E79" s="66"/>
      <c r="F79" s="67"/>
      <c r="G79" s="67"/>
      <c r="H79" s="67"/>
      <c r="I79" s="67"/>
      <c r="J79" s="67"/>
      <c r="K79" s="67"/>
      <c r="L79" s="67"/>
      <c r="M79" s="67"/>
      <c r="N79" s="67"/>
      <c r="O79" s="1"/>
      <c r="P79" s="1"/>
      <c r="Q79" s="1"/>
    </row>
    <row r="80" ht="15.75" customHeight="1">
      <c r="A80" s="68"/>
      <c r="B80" s="68"/>
      <c r="C80" s="69"/>
      <c r="D80" s="70" t="s">
        <v>167</v>
      </c>
      <c r="E80" s="71"/>
      <c r="F80" s="72">
        <f t="shared" ref="F80:H80" si="4">SUM(F10:F79)</f>
        <v>10159856.14</v>
      </c>
      <c r="G80" s="72">
        <f t="shared" si="4"/>
        <v>0</v>
      </c>
      <c r="H80" s="72">
        <f t="shared" si="4"/>
        <v>10159856.14</v>
      </c>
      <c r="I80" s="72">
        <f t="shared" ref="I80:N80" si="5">SUM(I10:I78)</f>
        <v>7049945.8</v>
      </c>
      <c r="J80" s="72">
        <f t="shared" si="5"/>
        <v>147301.22</v>
      </c>
      <c r="K80" s="72">
        <f t="shared" si="5"/>
        <v>2245196.09</v>
      </c>
      <c r="L80" s="72">
        <f t="shared" si="5"/>
        <v>123187.71</v>
      </c>
      <c r="M80" s="72">
        <f t="shared" si="5"/>
        <v>2515685.02</v>
      </c>
      <c r="N80" s="72">
        <f t="shared" si="5"/>
        <v>594225.32</v>
      </c>
      <c r="O80" s="1"/>
      <c r="P80" s="1"/>
      <c r="Q80" s="1"/>
    </row>
    <row r="81" ht="15.75" customHeight="1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5.75" customHeight="1">
      <c r="A82" s="1"/>
      <c r="B82" s="1"/>
      <c r="C82" s="2"/>
      <c r="D82" s="1"/>
      <c r="E82" s="1"/>
      <c r="F82" s="73"/>
      <c r="G82" s="73"/>
      <c r="H82" s="73"/>
      <c r="I82" s="1"/>
      <c r="J82" s="1"/>
      <c r="K82" s="1"/>
      <c r="L82" s="1"/>
      <c r="M82" s="1"/>
      <c r="N82" s="1"/>
      <c r="O82" s="1"/>
      <c r="P82" s="1"/>
      <c r="Q82" s="1"/>
    </row>
    <row r="83" ht="15.75" customHeight="1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5.75" customHeight="1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5.75" customHeight="1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5.75" customHeight="1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5.75" customHeight="1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5.75" customHeight="1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5.75" customHeight="1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5.75" customHeight="1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5.75" customHeight="1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5.75" customHeight="1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5.75" customHeight="1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5.75" customHeight="1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5.75" customHeight="1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5.75" customHeight="1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ht="15.75" customHeight="1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ht="15.75" customHeight="1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ht="15.75" customHeight="1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ht="15.75" customHeight="1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ht="15.75" customHeight="1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ht="15.75" customHeight="1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ht="15.75" customHeight="1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ht="15.75" customHeight="1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ht="15.75" customHeight="1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ht="15.75" customHeight="1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ht="15.75" customHeight="1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ht="15.75" customHeight="1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ht="15.75" customHeight="1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ht="15.75" customHeight="1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ht="15.75" customHeight="1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ht="15.75" customHeight="1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ht="15.75" customHeight="1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ht="15.75" customHeight="1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ht="15.75" customHeight="1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ht="15.75" customHeight="1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ht="15.75" customHeight="1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ht="15.75" customHeight="1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ht="15.75" customHeight="1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ht="15.75" customHeight="1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ht="15.75" customHeight="1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ht="15.75" customHeight="1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ht="15.75" customHeight="1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ht="15.75" customHeight="1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ht="15.75" customHeight="1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ht="15.75" customHeight="1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ht="15.75" customHeight="1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ht="15.75" customHeight="1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ht="15.75" customHeight="1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ht="15.75" customHeight="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ht="15.75" customHeight="1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ht="15.75" customHeight="1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ht="15.75" customHeight="1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ht="15.75" customHeight="1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ht="15.75" customHeight="1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ht="15.75" customHeight="1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ht="15.75" customHeight="1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ht="15.75" customHeight="1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ht="15.75" customHeight="1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ht="15.75" customHeight="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ht="15.75" customHeight="1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ht="15.75" customHeight="1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ht="15.75" customHeight="1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ht="15.75" customHeight="1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ht="15.75" customHeight="1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ht="15.75" customHeight="1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ht="15.75" customHeight="1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ht="15.75" customHeight="1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ht="15.75" customHeight="1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ht="15.75" customHeight="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ht="15.75" customHeight="1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ht="15.75" customHeight="1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ht="15.75" customHeight="1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ht="15.75" customHeight="1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ht="15.75" customHeight="1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ht="15.75" customHeight="1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ht="15.75" customHeight="1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ht="15.75" customHeight="1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ht="15.75" customHeight="1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ht="15.75" customHeight="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ht="15.75" customHeight="1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ht="15.75" customHeight="1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ht="15.75" customHeight="1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ht="15.75" customHeight="1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ht="15.75" customHeight="1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ht="15.75" customHeight="1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ht="15.75" customHeight="1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ht="15.75" customHeight="1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ht="15.75" customHeight="1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ht="15.75" customHeight="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ht="15.75" customHeight="1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ht="15.75" customHeight="1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ht="15.75" customHeight="1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ht="15.75" customHeight="1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ht="15.75" customHeight="1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ht="15.75" customHeight="1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ht="15.75" customHeight="1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ht="15.75" customHeight="1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ht="15.75" customHeight="1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ht="15.75" customHeight="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ht="15.75" customHeight="1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ht="15.75" customHeight="1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ht="15.75" customHeight="1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ht="15.75" customHeight="1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ht="15.75" customHeight="1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ht="15.75" customHeight="1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ht="15.75" customHeight="1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ht="15.75" customHeight="1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ht="15.75" customHeight="1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ht="15.75" customHeight="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ht="15.75" customHeight="1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ht="15.75" customHeight="1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ht="15.75" customHeight="1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ht="15.75" customHeight="1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ht="15.75" customHeight="1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ht="15.75" customHeight="1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ht="15.75" customHeight="1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ht="15.75" customHeight="1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ht="15.75" customHeight="1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ht="15.75" customHeight="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ht="15.75" customHeight="1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ht="15.75" customHeight="1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ht="15.75" customHeight="1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ht="15.75" customHeight="1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ht="15.75" customHeight="1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ht="15.75" customHeight="1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ht="15.75" customHeight="1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ht="15.75" customHeight="1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ht="15.75" customHeight="1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ht="15.75" customHeight="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ht="15.75" customHeight="1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ht="15.75" customHeight="1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ht="15.75" customHeight="1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ht="15.75" customHeight="1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ht="15.75" customHeight="1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ht="15.75" customHeight="1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ht="15.75" customHeight="1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ht="15.75" customHeight="1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ht="15.75" customHeight="1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ht="15.75" customHeight="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ht="15.75" customHeight="1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ht="15.75" customHeight="1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ht="15.75" customHeight="1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ht="15.75" customHeight="1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ht="15.75" customHeight="1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ht="15.75" customHeight="1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ht="15.75" customHeight="1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ht="15.75" customHeight="1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ht="15.75" customHeight="1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ht="15.75" customHeight="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ht="15.75" customHeight="1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ht="15.75" customHeight="1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ht="15.75" customHeight="1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ht="15.75" customHeight="1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ht="15.75" customHeight="1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ht="15.75" customHeight="1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ht="15.75" customHeight="1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ht="15.75" customHeight="1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ht="15.75" customHeight="1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ht="15.75" customHeight="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ht="15.75" customHeight="1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ht="15.75" customHeight="1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ht="15.75" customHeight="1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ht="15.75" customHeight="1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ht="15.75" customHeight="1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ht="15.75" customHeight="1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ht="15.75" customHeight="1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ht="15.75" customHeight="1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ht="15.75" customHeight="1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ht="15.75" customHeight="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ht="15.75" customHeight="1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ht="15.75" customHeight="1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ht="15.75" customHeight="1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ht="15.75" customHeight="1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ht="15.75" customHeight="1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ht="15.75" customHeight="1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ht="15.75" customHeight="1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ht="15.75" customHeight="1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ht="15.75" customHeight="1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ht="15.75" customHeight="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ht="15.75" customHeight="1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ht="15.75" customHeight="1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ht="15.75" customHeight="1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ht="15.75" customHeight="1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ht="15.75" customHeight="1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ht="15.75" customHeight="1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ht="15.75" customHeight="1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ht="15.75" customHeight="1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ht="15.75" customHeight="1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ht="15.75" customHeight="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ht="15.75" customHeight="1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ht="15.75" customHeight="1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ht="15.75" customHeight="1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ht="15.75" customHeight="1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ht="15.75" customHeight="1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ht="15.75" customHeight="1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ht="15.75" customHeight="1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mergeCells count="13">
    <mergeCell ref="H7:H8"/>
    <mergeCell ref="I7:I8"/>
    <mergeCell ref="J7:J8"/>
    <mergeCell ref="K7:K8"/>
    <mergeCell ref="L7:L8"/>
    <mergeCell ref="M7:M8"/>
    <mergeCell ref="I5:L5"/>
    <mergeCell ref="D6:E6"/>
    <mergeCell ref="B7:B8"/>
    <mergeCell ref="C7:C8"/>
    <mergeCell ref="F7:F8"/>
    <mergeCell ref="G7:G8"/>
    <mergeCell ref="N7:N8"/>
  </mergeCells>
  <conditionalFormatting sqref="N10:N78">
    <cfRule type="cellIs" dxfId="0" priority="1" operator="lessThan">
      <formula>0</formula>
    </cfRule>
  </conditionalFormatting>
  <conditionalFormatting sqref="N10:N78">
    <cfRule type="cellIs" dxfId="1" priority="2" operator="greaterThan">
      <formula>0</formula>
    </cfRule>
  </conditionalFormatting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0"/>
  <cols>
    <col customWidth="1" min="1" max="1" width="1.63"/>
    <col customWidth="1" min="2" max="2" width="6.13"/>
    <col customWidth="1" min="3" max="3" width="18.25"/>
    <col customWidth="1" min="4" max="4" width="24.5"/>
    <col customWidth="1" min="5" max="5" width="5.38"/>
    <col customWidth="1" min="6" max="6" width="26.63"/>
    <col customWidth="1" min="7" max="7" width="14.38"/>
    <col customWidth="1" min="8" max="8" width="15.13"/>
    <col customWidth="1" min="9" max="10" width="12.38"/>
    <col customWidth="1" min="11" max="13" width="14.0"/>
    <col customWidth="1" min="14" max="14" width="12.25"/>
    <col customWidth="1" min="15" max="16" width="15.63"/>
    <col customWidth="1" min="17" max="17" width="13.38"/>
    <col customWidth="1" min="18" max="18" width="7.63"/>
    <col customWidth="1" min="19" max="19" width="12.88"/>
    <col customWidth="1" min="20" max="20" width="4.38"/>
    <col customWidth="1" min="21" max="21" width="7.13"/>
    <col customWidth="1" min="22" max="23" width="19.38"/>
    <col customWidth="1" min="24" max="24" width="26.75"/>
    <col customWidth="1" min="25" max="25" width="11.88"/>
    <col customWidth="1" min="26" max="28" width="12.75"/>
  </cols>
  <sheetData>
    <row r="1" ht="15.75" customHeight="1">
      <c r="A1" s="1" t="s">
        <v>0</v>
      </c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74"/>
      <c r="S1" s="1"/>
      <c r="T1" s="1"/>
      <c r="U1" s="1"/>
      <c r="V1" s="1"/>
      <c r="W1" s="1"/>
      <c r="X1" s="1"/>
    </row>
    <row r="2" ht="41.25" customHeight="1">
      <c r="A2" s="1"/>
      <c r="B2" s="3"/>
      <c r="C2" s="4" t="s">
        <v>1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1"/>
      <c r="U2" s="1"/>
      <c r="V2" s="1"/>
      <c r="W2" s="1"/>
      <c r="X2" s="1"/>
    </row>
    <row r="3" ht="12.75" customHeight="1">
      <c r="A3" s="1"/>
      <c r="B3" s="7"/>
      <c r="C3" s="8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0"/>
      <c r="T3" s="1"/>
      <c r="U3" s="1"/>
      <c r="V3" s="1"/>
      <c r="W3" s="1"/>
      <c r="X3" s="1"/>
    </row>
    <row r="4" ht="12.75" customHeight="1">
      <c r="A4" s="1"/>
      <c r="B4" s="7"/>
      <c r="C4" s="1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75"/>
      <c r="T4" s="1"/>
      <c r="U4" s="1"/>
      <c r="V4" s="1"/>
      <c r="W4" s="1"/>
      <c r="X4" s="1"/>
    </row>
    <row r="5" ht="12.75" customHeight="1">
      <c r="A5" s="1"/>
      <c r="B5" s="13"/>
      <c r="C5" s="14"/>
      <c r="D5" s="15"/>
      <c r="E5" s="15"/>
      <c r="F5" s="15"/>
      <c r="G5" s="15"/>
      <c r="H5" s="16"/>
      <c r="I5" s="17" t="s">
        <v>2</v>
      </c>
      <c r="J5" s="18"/>
      <c r="K5" s="18"/>
      <c r="L5" s="18"/>
      <c r="M5" s="18"/>
      <c r="N5" s="18"/>
      <c r="O5" s="19"/>
      <c r="P5" s="76"/>
      <c r="Q5" s="77"/>
      <c r="R5" s="78"/>
      <c r="S5" s="79"/>
      <c r="T5" s="55"/>
      <c r="U5" s="1"/>
      <c r="V5" s="1"/>
      <c r="W5" s="1"/>
      <c r="X5" s="1"/>
    </row>
    <row r="6" ht="17.25" customHeight="1">
      <c r="A6" s="21"/>
      <c r="B6" s="22"/>
      <c r="C6" s="23"/>
      <c r="D6" s="24"/>
      <c r="E6" s="25"/>
      <c r="F6" s="26" t="s">
        <v>3</v>
      </c>
      <c r="G6" s="27"/>
      <c r="H6" s="27"/>
      <c r="I6" s="28">
        <v>45533.0</v>
      </c>
      <c r="J6" s="29">
        <v>45546.0</v>
      </c>
      <c r="K6" s="28"/>
      <c r="L6" s="29"/>
      <c r="M6" s="28"/>
      <c r="N6" s="80"/>
      <c r="O6" s="81"/>
      <c r="P6" s="28"/>
      <c r="Q6" s="30"/>
      <c r="R6" s="82"/>
      <c r="S6" s="30"/>
      <c r="T6" s="83" t="s">
        <v>168</v>
      </c>
      <c r="U6" s="1"/>
      <c r="V6" s="84" t="s">
        <v>169</v>
      </c>
    </row>
    <row r="7" ht="15.75" customHeight="1">
      <c r="A7" s="21"/>
      <c r="B7" s="31" t="s">
        <v>4</v>
      </c>
      <c r="C7" s="32" t="s">
        <v>5</v>
      </c>
      <c r="D7" s="33" t="s">
        <v>6</v>
      </c>
      <c r="E7" s="34"/>
      <c r="F7" s="35" t="s">
        <v>2</v>
      </c>
      <c r="G7" s="36" t="s">
        <v>7</v>
      </c>
      <c r="H7" s="37" t="s">
        <v>8</v>
      </c>
      <c r="I7" s="85" t="s">
        <v>170</v>
      </c>
      <c r="J7" s="86" t="s">
        <v>171</v>
      </c>
      <c r="K7" s="85" t="s">
        <v>172</v>
      </c>
      <c r="L7" s="86" t="s">
        <v>173</v>
      </c>
      <c r="M7" s="33" t="s">
        <v>174</v>
      </c>
      <c r="N7" s="87" t="s">
        <v>175</v>
      </c>
      <c r="O7" s="88" t="s">
        <v>176</v>
      </c>
      <c r="P7" s="88" t="s">
        <v>177</v>
      </c>
      <c r="Q7" s="89" t="s">
        <v>178</v>
      </c>
      <c r="R7" s="90" t="s">
        <v>179</v>
      </c>
      <c r="S7" s="36" t="s">
        <v>180</v>
      </c>
      <c r="T7" s="91" t="s">
        <v>181</v>
      </c>
      <c r="U7" s="1"/>
      <c r="V7" s="49" t="s">
        <v>182</v>
      </c>
      <c r="W7" s="49" t="s">
        <v>183</v>
      </c>
      <c r="X7" s="49" t="s">
        <v>184</v>
      </c>
      <c r="Y7" s="92" t="s">
        <v>185</v>
      </c>
      <c r="Z7" s="92" t="s">
        <v>186</v>
      </c>
    </row>
    <row r="8" ht="24.0" customHeight="1">
      <c r="A8" s="21"/>
      <c r="B8" s="43"/>
      <c r="C8" s="44"/>
      <c r="D8" s="45"/>
      <c r="E8" s="46"/>
      <c r="F8" s="47"/>
      <c r="G8" s="43"/>
      <c r="H8" s="48"/>
      <c r="I8" s="43"/>
      <c r="J8" s="43"/>
      <c r="K8" s="43"/>
      <c r="L8" s="43"/>
      <c r="M8" s="44"/>
      <c r="N8" s="43"/>
      <c r="O8" s="43"/>
      <c r="P8" s="43"/>
      <c r="Q8" s="43"/>
      <c r="R8" s="43"/>
      <c r="S8" s="43"/>
      <c r="T8" s="43"/>
      <c r="U8" s="1"/>
      <c r="V8" s="1"/>
      <c r="W8" s="1"/>
      <c r="X8" s="1"/>
    </row>
    <row r="9" ht="15.75" customHeight="1">
      <c r="A9" s="21"/>
      <c r="B9" s="22"/>
      <c r="C9" s="22"/>
      <c r="D9" s="50"/>
      <c r="E9" s="50"/>
      <c r="F9" s="51"/>
      <c r="G9" s="30"/>
      <c r="H9" s="30"/>
      <c r="I9" s="30"/>
      <c r="J9" s="52"/>
      <c r="K9" s="30"/>
      <c r="L9" s="52"/>
      <c r="M9" s="30"/>
      <c r="N9" s="93"/>
      <c r="O9" s="94"/>
      <c r="P9" s="94"/>
      <c r="Q9" s="30"/>
      <c r="R9" s="82"/>
      <c r="S9" s="30"/>
      <c r="T9" s="30"/>
      <c r="U9" s="1"/>
      <c r="V9" s="1"/>
      <c r="W9" s="1"/>
      <c r="X9" s="1"/>
    </row>
    <row r="10" ht="15.75" customHeight="1">
      <c r="A10" s="21"/>
      <c r="B10" s="54" t="s">
        <v>16</v>
      </c>
      <c r="C10" s="54" t="s">
        <v>17</v>
      </c>
      <c r="D10" s="55" t="s">
        <v>18</v>
      </c>
      <c r="E10" s="55"/>
      <c r="F10" s="56">
        <v>5500.0</v>
      </c>
      <c r="G10" s="57">
        <v>515.0</v>
      </c>
      <c r="H10" s="58">
        <f t="shared" ref="H10:H78" si="1">F10+G10</f>
        <v>6015</v>
      </c>
      <c r="I10" s="58"/>
      <c r="J10" s="61"/>
      <c r="K10" s="58">
        <v>1340.0</v>
      </c>
      <c r="L10" s="61"/>
      <c r="M10" s="58">
        <v>4675.0</v>
      </c>
      <c r="N10" s="95"/>
      <c r="O10" s="96"/>
      <c r="P10" s="96"/>
      <c r="Q10" s="58">
        <f t="shared" ref="Q10:Q78" si="2">SUM(I10:P10)</f>
        <v>6015</v>
      </c>
      <c r="R10" s="97">
        <f t="shared" ref="R10:R78" si="3">Q10/H10</f>
        <v>1</v>
      </c>
      <c r="S10" s="98">
        <f t="shared" ref="S10:S78" si="4">H10-Q10</f>
        <v>0</v>
      </c>
      <c r="T10" s="98"/>
      <c r="U10" s="1"/>
      <c r="V10" s="99">
        <v>750.0</v>
      </c>
      <c r="W10" s="99"/>
      <c r="X10" s="99">
        <v>0.0</v>
      </c>
    </row>
    <row r="11" ht="15.75" customHeight="1">
      <c r="A11" s="21"/>
      <c r="B11" s="54" t="s">
        <v>20</v>
      </c>
      <c r="C11" s="54" t="s">
        <v>17</v>
      </c>
      <c r="D11" s="55" t="s">
        <v>21</v>
      </c>
      <c r="E11" s="55"/>
      <c r="F11" s="56">
        <v>364814.62</v>
      </c>
      <c r="G11" s="62"/>
      <c r="H11" s="58">
        <f t="shared" si="1"/>
        <v>364814.62</v>
      </c>
      <c r="I11" s="58"/>
      <c r="J11" s="61">
        <v>11270.0</v>
      </c>
      <c r="K11" s="58"/>
      <c r="L11" s="61"/>
      <c r="M11" s="58">
        <v>273691.84</v>
      </c>
      <c r="N11" s="95"/>
      <c r="O11" s="96"/>
      <c r="P11" s="100">
        <f>59368.35+37886.95</f>
        <v>97255.3</v>
      </c>
      <c r="Q11" s="58">
        <f t="shared" si="2"/>
        <v>382217.14</v>
      </c>
      <c r="R11" s="97">
        <f t="shared" si="3"/>
        <v>1.047702365</v>
      </c>
      <c r="S11" s="98">
        <f t="shared" si="4"/>
        <v>-17402.52</v>
      </c>
      <c r="T11" s="98"/>
      <c r="U11" s="1"/>
      <c r="V11" s="101">
        <v>97255.3</v>
      </c>
      <c r="W11" s="101">
        <v>38228.61</v>
      </c>
      <c r="X11" s="101"/>
    </row>
    <row r="12" ht="15.75" customHeight="1">
      <c r="A12" s="21"/>
      <c r="B12" s="54" t="s">
        <v>22</v>
      </c>
      <c r="C12" s="54" t="s">
        <v>17</v>
      </c>
      <c r="D12" s="55" t="s">
        <v>23</v>
      </c>
      <c r="E12" s="55"/>
      <c r="F12" s="56">
        <v>208293.28</v>
      </c>
      <c r="G12" s="62"/>
      <c r="H12" s="58">
        <f t="shared" si="1"/>
        <v>208293.28</v>
      </c>
      <c r="I12" s="58"/>
      <c r="J12" s="61"/>
      <c r="K12" s="58">
        <f>192.62+710.13+795+20433.48+29710.3</f>
        <v>51841.53</v>
      </c>
      <c r="L12" s="61">
        <f>8299.2+8187.9</f>
        <v>16487.1</v>
      </c>
      <c r="M12" s="58">
        <f>14946.08+483.38+913.5+1539.25+2352.28+2921.58+1325.59+2176.28+1354.54+2128.01+687.56+2351.28+2176.28</f>
        <v>35355.61</v>
      </c>
      <c r="N12" s="95"/>
      <c r="O12" s="100">
        <f>7008.42+1175+15712.53</f>
        <v>23895.95</v>
      </c>
      <c r="P12" s="100">
        <f>15064.46+18288.05+16863.87</f>
        <v>50216.38</v>
      </c>
      <c r="Q12" s="58">
        <f t="shared" si="2"/>
        <v>177796.57</v>
      </c>
      <c r="R12" s="97">
        <f t="shared" si="3"/>
        <v>0.8535876433</v>
      </c>
      <c r="S12" s="98">
        <f t="shared" si="4"/>
        <v>30496.71</v>
      </c>
      <c r="T12" s="98"/>
      <c r="U12" s="1"/>
      <c r="V12" s="102">
        <f>P12+S12</f>
        <v>80713.09</v>
      </c>
      <c r="W12" s="103">
        <f>3988.61</f>
        <v>3988.61</v>
      </c>
      <c r="X12" s="102"/>
    </row>
    <row r="13" ht="15.75" customHeight="1">
      <c r="A13" s="21"/>
      <c r="B13" s="54" t="s">
        <v>24</v>
      </c>
      <c r="C13" s="54" t="s">
        <v>17</v>
      </c>
      <c r="D13" s="55" t="s">
        <v>25</v>
      </c>
      <c r="E13" s="55"/>
      <c r="F13" s="56">
        <v>17550.0</v>
      </c>
      <c r="G13" s="62"/>
      <c r="H13" s="58">
        <f t="shared" si="1"/>
        <v>17550</v>
      </c>
      <c r="I13" s="58"/>
      <c r="J13" s="61"/>
      <c r="K13" s="58"/>
      <c r="L13" s="61"/>
      <c r="M13" s="58"/>
      <c r="N13" s="95"/>
      <c r="O13" s="96"/>
      <c r="P13" s="96"/>
      <c r="Q13" s="58">
        <f t="shared" si="2"/>
        <v>0</v>
      </c>
      <c r="R13" s="97">
        <f t="shared" si="3"/>
        <v>0</v>
      </c>
      <c r="S13" s="98">
        <f t="shared" si="4"/>
        <v>17550</v>
      </c>
      <c r="T13" s="98"/>
      <c r="U13" s="1"/>
      <c r="V13" s="104">
        <f t="shared" ref="V13:V14" si="5">S13</f>
        <v>17550</v>
      </c>
      <c r="W13" s="104"/>
      <c r="X13" s="101">
        <f>66495+25000</f>
        <v>91495</v>
      </c>
    </row>
    <row r="14" ht="15.75" customHeight="1">
      <c r="A14" s="21"/>
      <c r="B14" s="54" t="s">
        <v>26</v>
      </c>
      <c r="C14" s="54" t="s">
        <v>17</v>
      </c>
      <c r="D14" s="55" t="s">
        <v>27</v>
      </c>
      <c r="E14" s="55"/>
      <c r="F14" s="56">
        <v>44475.0</v>
      </c>
      <c r="G14" s="62"/>
      <c r="H14" s="58">
        <f t="shared" si="1"/>
        <v>44475</v>
      </c>
      <c r="I14" s="58"/>
      <c r="J14" s="61"/>
      <c r="K14" s="58"/>
      <c r="L14" s="61"/>
      <c r="M14" s="58"/>
      <c r="N14" s="95"/>
      <c r="O14" s="96"/>
      <c r="P14" s="100">
        <v>10035.61</v>
      </c>
      <c r="Q14" s="58">
        <f t="shared" si="2"/>
        <v>10035.61</v>
      </c>
      <c r="R14" s="97">
        <f t="shared" si="3"/>
        <v>0.2256460933</v>
      </c>
      <c r="S14" s="98">
        <f t="shared" si="4"/>
        <v>34439.39</v>
      </c>
      <c r="T14" s="98"/>
      <c r="U14" s="1"/>
      <c r="V14" s="102">
        <f t="shared" si="5"/>
        <v>34439.39</v>
      </c>
      <c r="W14" s="99">
        <v>119.0</v>
      </c>
      <c r="X14" s="102">
        <f>2616+1230+3714.31</f>
        <v>7560.31</v>
      </c>
    </row>
    <row r="15" ht="15.75" customHeight="1">
      <c r="A15" s="21"/>
      <c r="B15" s="54" t="s">
        <v>28</v>
      </c>
      <c r="C15" s="54" t="s">
        <v>17</v>
      </c>
      <c r="D15" s="55" t="s">
        <v>29</v>
      </c>
      <c r="E15" s="55"/>
      <c r="F15" s="56">
        <v>49700.0</v>
      </c>
      <c r="G15" s="62"/>
      <c r="H15" s="58">
        <f t="shared" si="1"/>
        <v>49700</v>
      </c>
      <c r="I15" s="58">
        <v>37020.0</v>
      </c>
      <c r="J15" s="61">
        <v>12680.0</v>
      </c>
      <c r="K15" s="58"/>
      <c r="L15" s="61"/>
      <c r="M15" s="58"/>
      <c r="N15" s="95"/>
      <c r="O15" s="96"/>
      <c r="P15" s="96"/>
      <c r="Q15" s="58">
        <f t="shared" si="2"/>
        <v>49700</v>
      </c>
      <c r="R15" s="97">
        <f t="shared" si="3"/>
        <v>1</v>
      </c>
      <c r="S15" s="98">
        <f t="shared" si="4"/>
        <v>0</v>
      </c>
      <c r="T15" s="98"/>
      <c r="U15" s="1"/>
      <c r="V15" s="101">
        <v>0.0</v>
      </c>
      <c r="W15" s="101"/>
      <c r="X15" s="101"/>
      <c r="Y15" s="105">
        <v>61154.15</v>
      </c>
    </row>
    <row r="16" ht="15.75" customHeight="1">
      <c r="A16" s="21"/>
      <c r="B16" s="54" t="s">
        <v>30</v>
      </c>
      <c r="C16" s="54" t="s">
        <v>31</v>
      </c>
      <c r="D16" s="55" t="s">
        <v>32</v>
      </c>
      <c r="E16" s="55"/>
      <c r="F16" s="56">
        <v>43755.0</v>
      </c>
      <c r="G16" s="57">
        <v>-20000.0</v>
      </c>
      <c r="H16" s="58">
        <f t="shared" si="1"/>
        <v>23755</v>
      </c>
      <c r="I16" s="58"/>
      <c r="J16" s="61"/>
      <c r="K16" s="58">
        <f>181.79+16183.25</f>
        <v>16365.04</v>
      </c>
      <c r="L16" s="61"/>
      <c r="M16" s="58"/>
      <c r="N16" s="95"/>
      <c r="O16" s="96"/>
      <c r="P16" s="96"/>
      <c r="Q16" s="58">
        <f t="shared" si="2"/>
        <v>16365.04</v>
      </c>
      <c r="R16" s="97">
        <f t="shared" si="3"/>
        <v>0.6889092823</v>
      </c>
      <c r="S16" s="98">
        <f t="shared" si="4"/>
        <v>7389.96</v>
      </c>
      <c r="T16" s="98"/>
      <c r="U16" s="1"/>
      <c r="V16" s="99">
        <v>0.0</v>
      </c>
      <c r="W16" s="102">
        <f>851.75</f>
        <v>851.75</v>
      </c>
      <c r="X16" s="102"/>
    </row>
    <row r="17" ht="15.75" customHeight="1">
      <c r="A17" s="21"/>
      <c r="B17" s="54" t="s">
        <v>33</v>
      </c>
      <c r="C17" s="54" t="s">
        <v>31</v>
      </c>
      <c r="D17" s="55" t="s">
        <v>34</v>
      </c>
      <c r="E17" s="55"/>
      <c r="F17" s="56">
        <v>12500.0</v>
      </c>
      <c r="G17" s="62"/>
      <c r="H17" s="58">
        <f t="shared" si="1"/>
        <v>12500</v>
      </c>
      <c r="I17" s="58"/>
      <c r="J17" s="61"/>
      <c r="K17" s="58"/>
      <c r="L17" s="61"/>
      <c r="M17" s="58"/>
      <c r="N17" s="95"/>
      <c r="O17" s="96"/>
      <c r="P17" s="96"/>
      <c r="Q17" s="58">
        <f t="shared" si="2"/>
        <v>0</v>
      </c>
      <c r="R17" s="97">
        <f t="shared" si="3"/>
        <v>0</v>
      </c>
      <c r="S17" s="98">
        <f t="shared" si="4"/>
        <v>12500</v>
      </c>
      <c r="T17" s="98"/>
      <c r="U17" s="1"/>
      <c r="V17" s="103"/>
      <c r="W17" s="102"/>
      <c r="X17" s="106"/>
    </row>
    <row r="18" ht="15.75" customHeight="1">
      <c r="A18" s="21"/>
      <c r="B18" s="54" t="s">
        <v>35</v>
      </c>
      <c r="C18" s="54" t="s">
        <v>31</v>
      </c>
      <c r="D18" s="55" t="s">
        <v>36</v>
      </c>
      <c r="E18" s="55"/>
      <c r="F18" s="56">
        <v>63244.0</v>
      </c>
      <c r="G18" s="62"/>
      <c r="H18" s="58">
        <f t="shared" si="1"/>
        <v>63244</v>
      </c>
      <c r="I18" s="58"/>
      <c r="J18" s="61"/>
      <c r="K18" s="58"/>
      <c r="L18" s="61">
        <v>30100.75</v>
      </c>
      <c r="M18" s="58"/>
      <c r="N18" s="95"/>
      <c r="O18" s="100">
        <v>20271.48</v>
      </c>
      <c r="P18" s="100">
        <v>41081.98</v>
      </c>
      <c r="Q18" s="58">
        <f t="shared" si="2"/>
        <v>91454.21</v>
      </c>
      <c r="R18" s="97">
        <f t="shared" si="3"/>
        <v>1.446053539</v>
      </c>
      <c r="S18" s="98">
        <f t="shared" si="4"/>
        <v>-28210.21</v>
      </c>
      <c r="T18" s="98"/>
      <c r="U18" s="1"/>
      <c r="V18" s="103"/>
      <c r="W18" s="102"/>
      <c r="X18" s="106"/>
    </row>
    <row r="19" ht="15.75" customHeight="1">
      <c r="A19" s="21"/>
      <c r="B19" s="54" t="s">
        <v>37</v>
      </c>
      <c r="C19" s="54" t="s">
        <v>31</v>
      </c>
      <c r="D19" s="55" t="s">
        <v>38</v>
      </c>
      <c r="E19" s="55"/>
      <c r="F19" s="56">
        <v>97940.0</v>
      </c>
      <c r="G19" s="62"/>
      <c r="H19" s="58">
        <f t="shared" si="1"/>
        <v>97940</v>
      </c>
      <c r="I19" s="58"/>
      <c r="J19" s="61"/>
      <c r="K19" s="58"/>
      <c r="L19" s="61"/>
      <c r="M19" s="58">
        <v>80613.2</v>
      </c>
      <c r="N19" s="95"/>
      <c r="O19" s="96"/>
      <c r="P19" s="100">
        <v>10068.48</v>
      </c>
      <c r="Q19" s="58">
        <f t="shared" si="2"/>
        <v>90681.68</v>
      </c>
      <c r="R19" s="97">
        <f t="shared" si="3"/>
        <v>0.9258901368</v>
      </c>
      <c r="S19" s="98">
        <f t="shared" si="4"/>
        <v>7258.32</v>
      </c>
      <c r="T19" s="98"/>
      <c r="U19" s="1"/>
      <c r="V19" s="104"/>
      <c r="W19" s="104"/>
      <c r="X19" s="107">
        <v>32000.0</v>
      </c>
      <c r="AA19" s="92" t="s">
        <v>187</v>
      </c>
    </row>
    <row r="20" ht="15.75" customHeight="1">
      <c r="A20" s="21"/>
      <c r="B20" s="54" t="s">
        <v>40</v>
      </c>
      <c r="C20" s="54" t="s">
        <v>31</v>
      </c>
      <c r="D20" s="55" t="s">
        <v>41</v>
      </c>
      <c r="E20" s="55"/>
      <c r="F20" s="56">
        <v>84577.0</v>
      </c>
      <c r="G20" s="57">
        <v>-24000.0</v>
      </c>
      <c r="H20" s="58">
        <f t="shared" si="1"/>
        <v>60577</v>
      </c>
      <c r="I20" s="58"/>
      <c r="J20" s="61"/>
      <c r="K20" s="58"/>
      <c r="L20" s="61"/>
      <c r="M20" s="58"/>
      <c r="N20" s="95"/>
      <c r="O20" s="96"/>
      <c r="P20" s="100">
        <f>1706.9+3372.5</f>
        <v>5079.4</v>
      </c>
      <c r="Q20" s="58">
        <f t="shared" si="2"/>
        <v>5079.4</v>
      </c>
      <c r="R20" s="97">
        <f t="shared" si="3"/>
        <v>0.08385030622</v>
      </c>
      <c r="S20" s="98">
        <f t="shared" si="4"/>
        <v>55497.6</v>
      </c>
      <c r="T20" s="98"/>
      <c r="U20" s="1"/>
      <c r="V20" s="103">
        <f t="shared" ref="V20:V22" si="6">S20</f>
        <v>55497.6</v>
      </c>
      <c r="W20" s="99">
        <v>17699.18</v>
      </c>
      <c r="X20" s="99">
        <v>3550.0</v>
      </c>
    </row>
    <row r="21" ht="15.75" customHeight="1">
      <c r="A21" s="21"/>
      <c r="B21" s="54" t="s">
        <v>42</v>
      </c>
      <c r="C21" s="54" t="s">
        <v>31</v>
      </c>
      <c r="D21" s="55" t="s">
        <v>43</v>
      </c>
      <c r="E21" s="55"/>
      <c r="F21" s="56">
        <v>623901.14</v>
      </c>
      <c r="G21" s="57">
        <v>-221107.65</v>
      </c>
      <c r="H21" s="58">
        <f t="shared" si="1"/>
        <v>402793.49</v>
      </c>
      <c r="I21" s="58">
        <v>15311.37</v>
      </c>
      <c r="J21" s="61">
        <v>4548.58</v>
      </c>
      <c r="K21" s="58">
        <f>352.1+310.68+2916.45+523.7+1048.15+786.03+89.44+7191.56</f>
        <v>13218.11</v>
      </c>
      <c r="L21" s="61"/>
      <c r="M21" s="58">
        <v>217159.55</v>
      </c>
      <c r="N21" s="95"/>
      <c r="O21" s="96"/>
      <c r="P21" s="100">
        <f>115752.27</f>
        <v>115752.27</v>
      </c>
      <c r="Q21" s="58">
        <f t="shared" si="2"/>
        <v>365989.88</v>
      </c>
      <c r="R21" s="97">
        <f t="shared" si="3"/>
        <v>0.9086290843</v>
      </c>
      <c r="S21" s="98">
        <f t="shared" si="4"/>
        <v>36803.61</v>
      </c>
      <c r="T21" s="98"/>
      <c r="U21" s="1"/>
      <c r="V21" s="104">
        <f t="shared" si="6"/>
        <v>36803.61</v>
      </c>
      <c r="W21" s="104"/>
      <c r="X21" s="104"/>
    </row>
    <row r="22" ht="15.75" customHeight="1">
      <c r="A22" s="21"/>
      <c r="B22" s="54" t="s">
        <v>44</v>
      </c>
      <c r="C22" s="54" t="s">
        <v>31</v>
      </c>
      <c r="D22" s="55" t="s">
        <v>45</v>
      </c>
      <c r="E22" s="55"/>
      <c r="F22" s="56">
        <v>4500.0</v>
      </c>
      <c r="G22" s="62"/>
      <c r="H22" s="58">
        <f t="shared" si="1"/>
        <v>4500</v>
      </c>
      <c r="I22" s="58"/>
      <c r="J22" s="61"/>
      <c r="K22" s="58"/>
      <c r="L22" s="61"/>
      <c r="M22" s="58"/>
      <c r="N22" s="95"/>
      <c r="O22" s="96"/>
      <c r="P22" s="96"/>
      <c r="Q22" s="58">
        <f t="shared" si="2"/>
        <v>0</v>
      </c>
      <c r="R22" s="97">
        <f t="shared" si="3"/>
        <v>0</v>
      </c>
      <c r="S22" s="98">
        <f t="shared" si="4"/>
        <v>4500</v>
      </c>
      <c r="T22" s="98"/>
      <c r="U22" s="1"/>
      <c r="V22" s="102">
        <f t="shared" si="6"/>
        <v>4500</v>
      </c>
      <c r="W22" s="102"/>
      <c r="X22" s="102"/>
    </row>
    <row r="23" ht="15.75" customHeight="1">
      <c r="A23" s="21"/>
      <c r="B23" s="54" t="s">
        <v>46</v>
      </c>
      <c r="C23" s="54" t="s">
        <v>31</v>
      </c>
      <c r="D23" s="55" t="s">
        <v>47</v>
      </c>
      <c r="E23" s="55"/>
      <c r="F23" s="56">
        <v>7500.0</v>
      </c>
      <c r="G23" s="57">
        <v>5053.48</v>
      </c>
      <c r="H23" s="58">
        <f t="shared" si="1"/>
        <v>12553.48</v>
      </c>
      <c r="I23" s="58"/>
      <c r="J23" s="61">
        <v>7500.0</v>
      </c>
      <c r="K23" s="58">
        <v>5053.48</v>
      </c>
      <c r="L23" s="61"/>
      <c r="M23" s="58"/>
      <c r="N23" s="95"/>
      <c r="O23" s="96"/>
      <c r="P23" s="96"/>
      <c r="Q23" s="58">
        <f t="shared" si="2"/>
        <v>12553.48</v>
      </c>
      <c r="R23" s="97">
        <f t="shared" si="3"/>
        <v>1</v>
      </c>
      <c r="S23" s="98">
        <f t="shared" si="4"/>
        <v>0</v>
      </c>
      <c r="T23" s="98"/>
      <c r="U23" s="1"/>
      <c r="V23" s="101">
        <v>0.0</v>
      </c>
      <c r="W23" s="101"/>
      <c r="X23" s="104"/>
    </row>
    <row r="24" ht="15.75" customHeight="1">
      <c r="A24" s="21"/>
      <c r="B24" s="54" t="s">
        <v>48</v>
      </c>
      <c r="C24" s="54" t="s">
        <v>31</v>
      </c>
      <c r="D24" s="55" t="s">
        <v>49</v>
      </c>
      <c r="E24" s="55"/>
      <c r="F24" s="56">
        <v>70150.0</v>
      </c>
      <c r="G24" s="62"/>
      <c r="H24" s="58">
        <f t="shared" si="1"/>
        <v>70150</v>
      </c>
      <c r="I24" s="58"/>
      <c r="J24" s="61"/>
      <c r="K24" s="58"/>
      <c r="L24" s="61"/>
      <c r="M24" s="58"/>
      <c r="N24" s="95"/>
      <c r="O24" s="96"/>
      <c r="P24" s="100">
        <v>18316.72</v>
      </c>
      <c r="Q24" s="58">
        <f t="shared" si="2"/>
        <v>18316.72</v>
      </c>
      <c r="R24" s="97">
        <f t="shared" si="3"/>
        <v>0.2611079116</v>
      </c>
      <c r="S24" s="98">
        <f t="shared" si="4"/>
        <v>51833.28</v>
      </c>
      <c r="T24" s="98"/>
      <c r="U24" s="1"/>
      <c r="V24" s="103">
        <f>S24</f>
        <v>51833.28</v>
      </c>
      <c r="W24" s="103"/>
      <c r="X24" s="102"/>
    </row>
    <row r="25" ht="15.75" customHeight="1">
      <c r="A25" s="21"/>
      <c r="B25" s="54" t="s">
        <v>50</v>
      </c>
      <c r="C25" s="54" t="s">
        <v>31</v>
      </c>
      <c r="D25" s="55" t="s">
        <v>51</v>
      </c>
      <c r="E25" s="55"/>
      <c r="F25" s="56">
        <v>52475.0</v>
      </c>
      <c r="G25" s="57">
        <v>-19908.96</v>
      </c>
      <c r="H25" s="58">
        <f t="shared" si="1"/>
        <v>32566.04</v>
      </c>
      <c r="I25" s="58"/>
      <c r="J25" s="61"/>
      <c r="K25" s="58">
        <v>1500.0</v>
      </c>
      <c r="L25" s="61"/>
      <c r="M25" s="58"/>
      <c r="N25" s="108">
        <v>20015.96</v>
      </c>
      <c r="O25" s="100">
        <v>10964.84</v>
      </c>
      <c r="P25" s="100">
        <v>39584.35</v>
      </c>
      <c r="Q25" s="58">
        <f t="shared" si="2"/>
        <v>72065.15</v>
      </c>
      <c r="R25" s="97">
        <f t="shared" si="3"/>
        <v>2.212892633</v>
      </c>
      <c r="S25" s="98">
        <f t="shared" si="4"/>
        <v>-39499.11</v>
      </c>
      <c r="T25" s="98"/>
      <c r="U25" s="1"/>
      <c r="V25" s="101"/>
      <c r="W25" s="104"/>
      <c r="X25" s="107">
        <v>17364.5</v>
      </c>
    </row>
    <row r="26" ht="15.75" customHeight="1">
      <c r="A26" s="21"/>
      <c r="B26" s="54" t="s">
        <v>52</v>
      </c>
      <c r="C26" s="54" t="s">
        <v>53</v>
      </c>
      <c r="D26" s="55" t="s">
        <v>54</v>
      </c>
      <c r="E26" s="55"/>
      <c r="F26" s="56">
        <v>524500.0</v>
      </c>
      <c r="G26" s="62"/>
      <c r="H26" s="58">
        <f t="shared" si="1"/>
        <v>524500</v>
      </c>
      <c r="I26" s="58">
        <v>60000.0</v>
      </c>
      <c r="J26" s="61"/>
      <c r="K26" s="58">
        <v>124504.85</v>
      </c>
      <c r="L26" s="61">
        <v>45610.81</v>
      </c>
      <c r="M26" s="58">
        <v>72610.06</v>
      </c>
      <c r="N26" s="108">
        <v>38780.0</v>
      </c>
      <c r="O26" s="100">
        <v>39955.0</v>
      </c>
      <c r="P26" s="100">
        <v>60080.0</v>
      </c>
      <c r="Q26" s="58">
        <f t="shared" si="2"/>
        <v>441540.72</v>
      </c>
      <c r="R26" s="97">
        <f t="shared" si="3"/>
        <v>0.8418316873</v>
      </c>
      <c r="S26" s="98">
        <f t="shared" si="4"/>
        <v>82959.28</v>
      </c>
      <c r="T26" s="98"/>
      <c r="U26" s="1"/>
      <c r="V26" s="102">
        <f t="shared" ref="V26:V34" si="7">S26</f>
        <v>82959.28</v>
      </c>
      <c r="W26" s="102"/>
      <c r="X26" s="107"/>
      <c r="AA26" s="92" t="s">
        <v>188</v>
      </c>
    </row>
    <row r="27" ht="15.75" customHeight="1">
      <c r="A27" s="21"/>
      <c r="B27" s="54" t="s">
        <v>55</v>
      </c>
      <c r="C27" s="54" t="s">
        <v>53</v>
      </c>
      <c r="D27" s="55" t="s">
        <v>56</v>
      </c>
      <c r="E27" s="55"/>
      <c r="F27" s="56">
        <v>1244900.0</v>
      </c>
      <c r="G27" s="62"/>
      <c r="H27" s="58">
        <f t="shared" si="1"/>
        <v>1244900</v>
      </c>
      <c r="I27" s="58"/>
      <c r="J27" s="61"/>
      <c r="K27" s="58">
        <v>204250.0</v>
      </c>
      <c r="L27" s="61">
        <v>199500.0</v>
      </c>
      <c r="M27" s="58">
        <v>309673.4</v>
      </c>
      <c r="N27" s="108">
        <v>135208.75</v>
      </c>
      <c r="O27" s="100">
        <v>85500.0</v>
      </c>
      <c r="P27" s="100">
        <f>162938.3</f>
        <v>162938.3</v>
      </c>
      <c r="Q27" s="58">
        <f t="shared" si="2"/>
        <v>1097070.45</v>
      </c>
      <c r="R27" s="97">
        <f t="shared" si="3"/>
        <v>0.8812518676</v>
      </c>
      <c r="S27" s="98">
        <f t="shared" si="4"/>
        <v>147829.55</v>
      </c>
      <c r="T27" s="98"/>
      <c r="U27" s="1"/>
      <c r="V27" s="104">
        <f t="shared" si="7"/>
        <v>147829.55</v>
      </c>
      <c r="W27" s="104"/>
      <c r="X27" s="106"/>
    </row>
    <row r="28" ht="15.75" customHeight="1">
      <c r="A28" s="21"/>
      <c r="B28" s="54" t="s">
        <v>57</v>
      </c>
      <c r="C28" s="54" t="s">
        <v>53</v>
      </c>
      <c r="D28" s="55" t="s">
        <v>58</v>
      </c>
      <c r="E28" s="55"/>
      <c r="F28" s="56">
        <v>434737.1</v>
      </c>
      <c r="G28" s="62"/>
      <c r="H28" s="58">
        <f t="shared" si="1"/>
        <v>434737.1</v>
      </c>
      <c r="I28" s="58"/>
      <c r="J28" s="61">
        <v>77050.11</v>
      </c>
      <c r="K28" s="58"/>
      <c r="L28" s="61">
        <v>51300.0</v>
      </c>
      <c r="M28" s="58">
        <v>1500.0</v>
      </c>
      <c r="N28" s="95"/>
      <c r="O28" s="96"/>
      <c r="P28" s="100">
        <v>118750.0</v>
      </c>
      <c r="Q28" s="58">
        <f t="shared" si="2"/>
        <v>248600.11</v>
      </c>
      <c r="R28" s="97">
        <f t="shared" si="3"/>
        <v>0.5718401075</v>
      </c>
      <c r="S28" s="98">
        <f t="shared" si="4"/>
        <v>186136.99</v>
      </c>
      <c r="T28" s="98"/>
      <c r="U28" s="1"/>
      <c r="V28" s="102">
        <f t="shared" si="7"/>
        <v>186136.99</v>
      </c>
      <c r="W28" s="102"/>
      <c r="X28" s="102"/>
    </row>
    <row r="29" ht="15.75" customHeight="1">
      <c r="A29" s="21"/>
      <c r="B29" s="54" t="s">
        <v>59</v>
      </c>
      <c r="C29" s="54" t="s">
        <v>53</v>
      </c>
      <c r="D29" s="55" t="s">
        <v>60</v>
      </c>
      <c r="E29" s="55"/>
      <c r="F29" s="56">
        <v>37500.0</v>
      </c>
      <c r="G29" s="62"/>
      <c r="H29" s="58">
        <f t="shared" si="1"/>
        <v>37500</v>
      </c>
      <c r="I29" s="58"/>
      <c r="J29" s="61"/>
      <c r="K29" s="58"/>
      <c r="L29" s="61"/>
      <c r="M29" s="58"/>
      <c r="N29" s="95"/>
      <c r="O29" s="96"/>
      <c r="P29" s="96"/>
      <c r="Q29" s="58">
        <f t="shared" si="2"/>
        <v>0</v>
      </c>
      <c r="R29" s="97">
        <f t="shared" si="3"/>
        <v>0</v>
      </c>
      <c r="S29" s="98">
        <f t="shared" si="4"/>
        <v>37500</v>
      </c>
      <c r="T29" s="98"/>
      <c r="U29" s="1"/>
      <c r="V29" s="104">
        <f t="shared" si="7"/>
        <v>37500</v>
      </c>
      <c r="W29" s="104"/>
      <c r="X29" s="104"/>
    </row>
    <row r="30" ht="15.75" customHeight="1">
      <c r="A30" s="21"/>
      <c r="B30" s="54" t="s">
        <v>61</v>
      </c>
      <c r="C30" s="54" t="s">
        <v>53</v>
      </c>
      <c r="D30" s="55" t="s">
        <v>62</v>
      </c>
      <c r="E30" s="55"/>
      <c r="F30" s="56">
        <v>168681.0</v>
      </c>
      <c r="G30" s="62"/>
      <c r="H30" s="58">
        <f t="shared" si="1"/>
        <v>168681</v>
      </c>
      <c r="I30" s="58"/>
      <c r="J30" s="61">
        <v>30210.79</v>
      </c>
      <c r="K30" s="58">
        <v>44259.74</v>
      </c>
      <c r="L30" s="61">
        <v>15466.0</v>
      </c>
      <c r="M30" s="58"/>
      <c r="N30" s="108">
        <v>1406.0</v>
      </c>
      <c r="O30" s="96"/>
      <c r="P30" s="100">
        <v>1406.0</v>
      </c>
      <c r="Q30" s="58">
        <f t="shared" si="2"/>
        <v>92748.53</v>
      </c>
      <c r="R30" s="97">
        <f t="shared" si="3"/>
        <v>0.5498457443</v>
      </c>
      <c r="S30" s="98">
        <f t="shared" si="4"/>
        <v>75932.47</v>
      </c>
      <c r="T30" s="98"/>
      <c r="U30" s="1"/>
      <c r="V30" s="102">
        <f t="shared" si="7"/>
        <v>75932.47</v>
      </c>
      <c r="W30" s="102"/>
      <c r="X30" s="102"/>
    </row>
    <row r="31" ht="15.75" customHeight="1">
      <c r="A31" s="21"/>
      <c r="B31" s="54" t="s">
        <v>63</v>
      </c>
      <c r="C31" s="54" t="s">
        <v>53</v>
      </c>
      <c r="D31" s="55" t="s">
        <v>64</v>
      </c>
      <c r="E31" s="55"/>
      <c r="F31" s="56">
        <v>14750.0</v>
      </c>
      <c r="G31" s="62"/>
      <c r="H31" s="58">
        <f t="shared" si="1"/>
        <v>14750</v>
      </c>
      <c r="I31" s="58"/>
      <c r="J31" s="61"/>
      <c r="K31" s="58"/>
      <c r="L31" s="61"/>
      <c r="M31" s="58">
        <v>423.37</v>
      </c>
      <c r="N31" s="95"/>
      <c r="O31" s="100">
        <v>3091.66</v>
      </c>
      <c r="P31" s="100">
        <f>4500+4500</f>
        <v>9000</v>
      </c>
      <c r="Q31" s="58">
        <f t="shared" si="2"/>
        <v>12515.03</v>
      </c>
      <c r="R31" s="97">
        <f t="shared" si="3"/>
        <v>0.8484766102</v>
      </c>
      <c r="S31" s="98">
        <f t="shared" si="4"/>
        <v>2234.97</v>
      </c>
      <c r="T31" s="98"/>
      <c r="U31" s="1"/>
      <c r="V31" s="104">
        <f t="shared" si="7"/>
        <v>2234.97</v>
      </c>
      <c r="W31" s="104"/>
      <c r="X31" s="104"/>
    </row>
    <row r="32" ht="15.75" customHeight="1">
      <c r="A32" s="21"/>
      <c r="B32" s="54" t="s">
        <v>65</v>
      </c>
      <c r="C32" s="54" t="s">
        <v>66</v>
      </c>
      <c r="D32" s="55" t="s">
        <v>67</v>
      </c>
      <c r="E32" s="55"/>
      <c r="F32" s="56">
        <v>152486.0</v>
      </c>
      <c r="G32" s="62"/>
      <c r="H32" s="58">
        <f t="shared" si="1"/>
        <v>152486</v>
      </c>
      <c r="I32" s="58"/>
      <c r="J32" s="61">
        <v>92390.22</v>
      </c>
      <c r="K32" s="58"/>
      <c r="L32" s="61">
        <v>15200.0</v>
      </c>
      <c r="M32" s="58">
        <v>20900.0</v>
      </c>
      <c r="N32" s="108">
        <v>12458.92</v>
      </c>
      <c r="O32" s="100">
        <v>232.83</v>
      </c>
      <c r="P32" s="100">
        <v>3135.0</v>
      </c>
      <c r="Q32" s="58">
        <f t="shared" si="2"/>
        <v>144316.97</v>
      </c>
      <c r="R32" s="97">
        <f t="shared" si="3"/>
        <v>0.946427672</v>
      </c>
      <c r="S32" s="98">
        <f t="shared" si="4"/>
        <v>8169.03</v>
      </c>
      <c r="T32" s="98"/>
      <c r="U32" s="1"/>
      <c r="V32" s="102">
        <f t="shared" si="7"/>
        <v>8169.03</v>
      </c>
      <c r="W32" s="102"/>
      <c r="X32" s="102"/>
    </row>
    <row r="33" ht="15.75" customHeight="1">
      <c r="A33" s="21"/>
      <c r="B33" s="54" t="s">
        <v>68</v>
      </c>
      <c r="C33" s="54" t="s">
        <v>66</v>
      </c>
      <c r="D33" s="55" t="s">
        <v>69</v>
      </c>
      <c r="E33" s="55"/>
      <c r="F33" s="56">
        <v>222919.0</v>
      </c>
      <c r="G33" s="57">
        <v>-25000.0</v>
      </c>
      <c r="H33" s="58">
        <f t="shared" si="1"/>
        <v>197919</v>
      </c>
      <c r="I33" s="58"/>
      <c r="J33" s="61"/>
      <c r="K33" s="58"/>
      <c r="L33" s="61">
        <v>117346.28</v>
      </c>
      <c r="M33" s="58">
        <v>1433.31</v>
      </c>
      <c r="N33" s="108">
        <v>52303.94</v>
      </c>
      <c r="O33" s="100">
        <v>12961.87</v>
      </c>
      <c r="P33" s="96"/>
      <c r="Q33" s="58">
        <f t="shared" si="2"/>
        <v>184045.4</v>
      </c>
      <c r="R33" s="97">
        <f t="shared" si="3"/>
        <v>0.9299026369</v>
      </c>
      <c r="S33" s="98">
        <f t="shared" si="4"/>
        <v>13873.6</v>
      </c>
      <c r="T33" s="98"/>
      <c r="U33" s="1"/>
      <c r="V33" s="104">
        <f t="shared" si="7"/>
        <v>13873.6</v>
      </c>
      <c r="W33" s="104"/>
      <c r="X33" s="104"/>
    </row>
    <row r="34" ht="15.75" customHeight="1">
      <c r="A34" s="21"/>
      <c r="B34" s="54" t="s">
        <v>70</v>
      </c>
      <c r="C34" s="54" t="s">
        <v>66</v>
      </c>
      <c r="D34" s="55" t="s">
        <v>71</v>
      </c>
      <c r="E34" s="55"/>
      <c r="F34" s="56">
        <v>1467345.0</v>
      </c>
      <c r="G34" s="62"/>
      <c r="H34" s="58">
        <f t="shared" si="1"/>
        <v>1467345</v>
      </c>
      <c r="I34" s="58"/>
      <c r="J34" s="61"/>
      <c r="K34" s="58">
        <f>554084.18-27704.21</f>
        <v>526379.97</v>
      </c>
      <c r="L34" s="61">
        <v>233987.48</v>
      </c>
      <c r="M34" s="58">
        <v>131595.0</v>
      </c>
      <c r="N34" s="95"/>
      <c r="O34" s="100">
        <f>157720+10688.77+66507.92</f>
        <v>234916.69</v>
      </c>
      <c r="P34" s="100">
        <f>5447.61+131594.99</f>
        <v>137042.6</v>
      </c>
      <c r="Q34" s="58">
        <f t="shared" si="2"/>
        <v>1263921.74</v>
      </c>
      <c r="R34" s="97">
        <f t="shared" si="3"/>
        <v>0.8613664407</v>
      </c>
      <c r="S34" s="98">
        <f t="shared" si="4"/>
        <v>203423.26</v>
      </c>
      <c r="T34" s="98"/>
      <c r="U34" s="1"/>
      <c r="V34" s="102">
        <f t="shared" si="7"/>
        <v>203423.26</v>
      </c>
      <c r="W34" s="102"/>
      <c r="X34" s="102"/>
    </row>
    <row r="35" ht="15.75" customHeight="1">
      <c r="A35" s="21"/>
      <c r="B35" s="54" t="s">
        <v>73</v>
      </c>
      <c r="C35" s="54" t="s">
        <v>66</v>
      </c>
      <c r="D35" s="55" t="s">
        <v>74</v>
      </c>
      <c r="E35" s="55"/>
      <c r="F35" s="56">
        <v>25000.0</v>
      </c>
      <c r="G35" s="57">
        <v>146985.68</v>
      </c>
      <c r="H35" s="58">
        <f t="shared" si="1"/>
        <v>171985.68</v>
      </c>
      <c r="I35" s="58"/>
      <c r="J35" s="61"/>
      <c r="K35" s="58">
        <f>4867.76+160.24+480.7+9662.93+168</f>
        <v>15339.63</v>
      </c>
      <c r="L35" s="61">
        <f>1081.08+4321.85</f>
        <v>5402.93</v>
      </c>
      <c r="M35" s="58">
        <f>7568.08+75+9977.31+75+75+11568.85+1554.74+2302.59+165.16+75+19908.96+1225.47</f>
        <v>54571.16</v>
      </c>
      <c r="N35" s="108">
        <f>19383.87+102.78+227.03</f>
        <v>19713.68</v>
      </c>
      <c r="O35" s="100">
        <f>986.49+5821.55+3746.54+2650.74+1118.32+739.87+253.55+3746.54+1423.74+3355.33+732.66+4028.15+468.32+5968.05+3044.07+777.47+1082.08+93.25+4750.42+1555.45+1397.53+4009.26+4367.36+3980.7+2547.33+1094.69+4497+6815.99</f>
        <v>75052.45</v>
      </c>
      <c r="P35" s="100">
        <f>27357.55+1968.69+24.56</f>
        <v>29350.8</v>
      </c>
      <c r="Q35" s="58">
        <f t="shared" si="2"/>
        <v>199430.65</v>
      </c>
      <c r="R35" s="97">
        <f t="shared" si="3"/>
        <v>1.159577065</v>
      </c>
      <c r="S35" s="98">
        <f t="shared" si="4"/>
        <v>-27444.97</v>
      </c>
      <c r="T35" s="98"/>
      <c r="U35" s="1"/>
      <c r="V35" s="104"/>
      <c r="W35" s="104"/>
      <c r="X35" s="107">
        <v>30000.0</v>
      </c>
      <c r="Y35" s="92" t="s">
        <v>189</v>
      </c>
    </row>
    <row r="36" ht="15.75" customHeight="1">
      <c r="A36" s="21"/>
      <c r="B36" s="54" t="s">
        <v>75</v>
      </c>
      <c r="C36" s="54" t="s">
        <v>66</v>
      </c>
      <c r="D36" s="55" t="s">
        <v>76</v>
      </c>
      <c r="E36" s="55"/>
      <c r="F36" s="56">
        <v>189135.0</v>
      </c>
      <c r="G36" s="57">
        <v>-50313.72</v>
      </c>
      <c r="H36" s="58">
        <f t="shared" si="1"/>
        <v>138821.28</v>
      </c>
      <c r="I36" s="58"/>
      <c r="J36" s="61"/>
      <c r="K36" s="58">
        <f>13552</f>
        <v>13552</v>
      </c>
      <c r="L36" s="61">
        <f>6024.25+11275.97+48652.42</f>
        <v>65952.64</v>
      </c>
      <c r="M36" s="58">
        <f>685.2+16113.15</f>
        <v>16798.35</v>
      </c>
      <c r="N36" s="95"/>
      <c r="O36" s="100">
        <f>38930.67</f>
        <v>38930.67</v>
      </c>
      <c r="P36" s="100">
        <f>23257.27</f>
        <v>23257.27</v>
      </c>
      <c r="Q36" s="58">
        <f t="shared" si="2"/>
        <v>158490.93</v>
      </c>
      <c r="R36" s="97">
        <f t="shared" si="3"/>
        <v>1.141690453</v>
      </c>
      <c r="S36" s="98">
        <f t="shared" si="4"/>
        <v>-19669.65</v>
      </c>
      <c r="T36" s="98"/>
      <c r="U36" s="1"/>
      <c r="V36" s="102">
        <f t="shared" ref="V36:V44" si="8">S36</f>
        <v>-19669.65</v>
      </c>
      <c r="W36" s="102"/>
      <c r="X36" s="107">
        <v>31000.0</v>
      </c>
      <c r="Y36" s="92" t="s">
        <v>189</v>
      </c>
    </row>
    <row r="37" ht="15.75" customHeight="1">
      <c r="A37" s="21"/>
      <c r="B37" s="54" t="s">
        <v>77</v>
      </c>
      <c r="C37" s="54" t="s">
        <v>66</v>
      </c>
      <c r="D37" s="55" t="s">
        <v>78</v>
      </c>
      <c r="E37" s="55"/>
      <c r="F37" s="56">
        <v>303668.8</v>
      </c>
      <c r="G37" s="62"/>
      <c r="H37" s="58">
        <f t="shared" si="1"/>
        <v>303668.8</v>
      </c>
      <c r="I37" s="58"/>
      <c r="J37" s="61"/>
      <c r="K37" s="58"/>
      <c r="L37" s="64">
        <v>16999.73</v>
      </c>
      <c r="M37" s="58"/>
      <c r="N37" s="108">
        <v>28686.67</v>
      </c>
      <c r="O37" s="100">
        <v>90618.32</v>
      </c>
      <c r="P37" s="100">
        <v>169506.27</v>
      </c>
      <c r="Q37" s="58">
        <f t="shared" si="2"/>
        <v>305810.99</v>
      </c>
      <c r="R37" s="97">
        <f t="shared" si="3"/>
        <v>1.007054363</v>
      </c>
      <c r="S37" s="98">
        <f t="shared" si="4"/>
        <v>-2142.19</v>
      </c>
      <c r="T37" s="98"/>
      <c r="U37" s="1"/>
      <c r="V37" s="104">
        <f t="shared" si="8"/>
        <v>-2142.19</v>
      </c>
      <c r="W37" s="104"/>
      <c r="X37" s="104"/>
    </row>
    <row r="38" ht="15.75" customHeight="1">
      <c r="A38" s="21"/>
      <c r="B38" s="54" t="s">
        <v>79</v>
      </c>
      <c r="C38" s="54" t="s">
        <v>66</v>
      </c>
      <c r="D38" s="55" t="s">
        <v>80</v>
      </c>
      <c r="E38" s="55"/>
      <c r="F38" s="56">
        <v>6000.0</v>
      </c>
      <c r="G38" s="62"/>
      <c r="H38" s="58">
        <f t="shared" si="1"/>
        <v>6000</v>
      </c>
      <c r="I38" s="58"/>
      <c r="J38" s="61"/>
      <c r="K38" s="58"/>
      <c r="L38" s="61"/>
      <c r="M38" s="58"/>
      <c r="N38" s="95"/>
      <c r="O38" s="96"/>
      <c r="P38" s="96"/>
      <c r="Q38" s="58">
        <f t="shared" si="2"/>
        <v>0</v>
      </c>
      <c r="R38" s="97">
        <f t="shared" si="3"/>
        <v>0</v>
      </c>
      <c r="S38" s="98">
        <f t="shared" si="4"/>
        <v>6000</v>
      </c>
      <c r="T38" s="98"/>
      <c r="U38" s="1"/>
      <c r="V38" s="102">
        <f t="shared" si="8"/>
        <v>6000</v>
      </c>
      <c r="W38" s="102"/>
      <c r="X38" s="102"/>
    </row>
    <row r="39" ht="15.75" customHeight="1">
      <c r="A39" s="21"/>
      <c r="B39" s="54" t="s">
        <v>81</v>
      </c>
      <c r="C39" s="54" t="s">
        <v>66</v>
      </c>
      <c r="D39" s="55" t="s">
        <v>82</v>
      </c>
      <c r="E39" s="55"/>
      <c r="F39" s="56">
        <v>14081.4</v>
      </c>
      <c r="G39" s="62"/>
      <c r="H39" s="58">
        <f t="shared" si="1"/>
        <v>14081.4</v>
      </c>
      <c r="I39" s="58"/>
      <c r="J39" s="61"/>
      <c r="K39" s="58"/>
      <c r="L39" s="61"/>
      <c r="M39" s="58"/>
      <c r="N39" s="95"/>
      <c r="O39" s="96"/>
      <c r="P39" s="100">
        <f>5089.74+10728.37</f>
        <v>15818.11</v>
      </c>
      <c r="Q39" s="58">
        <f t="shared" si="2"/>
        <v>15818.11</v>
      </c>
      <c r="R39" s="97">
        <f t="shared" si="3"/>
        <v>1.123333617</v>
      </c>
      <c r="S39" s="98">
        <f t="shared" si="4"/>
        <v>-1736.71</v>
      </c>
      <c r="T39" s="98"/>
      <c r="U39" s="1"/>
      <c r="V39" s="104">
        <f t="shared" si="8"/>
        <v>-1736.71</v>
      </c>
      <c r="W39" s="104"/>
      <c r="X39" s="107">
        <v>3000.0</v>
      </c>
    </row>
    <row r="40" ht="15.75" customHeight="1">
      <c r="A40" s="21"/>
      <c r="B40" s="54" t="s">
        <v>83</v>
      </c>
      <c r="C40" s="54" t="s">
        <v>66</v>
      </c>
      <c r="D40" s="55" t="s">
        <v>84</v>
      </c>
      <c r="E40" s="55"/>
      <c r="F40" s="56">
        <v>10000.0</v>
      </c>
      <c r="G40" s="62"/>
      <c r="H40" s="58">
        <f t="shared" si="1"/>
        <v>10000</v>
      </c>
      <c r="I40" s="58"/>
      <c r="J40" s="61"/>
      <c r="K40" s="58"/>
      <c r="L40" s="61"/>
      <c r="M40" s="58"/>
      <c r="N40" s="95"/>
      <c r="O40" s="96"/>
      <c r="P40" s="100">
        <v>3673.39</v>
      </c>
      <c r="Q40" s="58">
        <f t="shared" si="2"/>
        <v>3673.39</v>
      </c>
      <c r="R40" s="97">
        <f t="shared" si="3"/>
        <v>0.367339</v>
      </c>
      <c r="S40" s="98">
        <f t="shared" si="4"/>
        <v>6326.61</v>
      </c>
      <c r="T40" s="98"/>
      <c r="U40" s="1"/>
      <c r="V40" s="102">
        <f t="shared" si="8"/>
        <v>6326.61</v>
      </c>
      <c r="W40" s="102"/>
      <c r="X40" s="102"/>
    </row>
    <row r="41" ht="15.75" customHeight="1">
      <c r="A41" s="21"/>
      <c r="B41" s="54" t="s">
        <v>85</v>
      </c>
      <c r="C41" s="54" t="s">
        <v>66</v>
      </c>
      <c r="D41" s="55" t="s">
        <v>86</v>
      </c>
      <c r="E41" s="55"/>
      <c r="F41" s="56">
        <v>65000.0</v>
      </c>
      <c r="G41" s="62"/>
      <c r="H41" s="58">
        <f t="shared" si="1"/>
        <v>65000</v>
      </c>
      <c r="I41" s="58"/>
      <c r="J41" s="61"/>
      <c r="K41" s="58"/>
      <c r="L41" s="61"/>
      <c r="M41" s="58"/>
      <c r="N41" s="108">
        <v>6806.48</v>
      </c>
      <c r="O41" s="100">
        <f>847.44+245+7783.6</f>
        <v>8876.04</v>
      </c>
      <c r="P41" s="100">
        <v>859.58</v>
      </c>
      <c r="Q41" s="58">
        <f t="shared" si="2"/>
        <v>16542.1</v>
      </c>
      <c r="R41" s="97">
        <f t="shared" si="3"/>
        <v>0.2544938462</v>
      </c>
      <c r="S41" s="98">
        <f t="shared" si="4"/>
        <v>48457.9</v>
      </c>
      <c r="T41" s="98"/>
      <c r="U41" s="1"/>
      <c r="V41" s="104">
        <f t="shared" si="8"/>
        <v>48457.9</v>
      </c>
      <c r="W41" s="104"/>
      <c r="X41" s="107">
        <v>19065.45</v>
      </c>
      <c r="Y41" s="92" t="s">
        <v>189</v>
      </c>
    </row>
    <row r="42" ht="15.75" customHeight="1">
      <c r="A42" s="21"/>
      <c r="B42" s="54" t="s">
        <v>87</v>
      </c>
      <c r="C42" s="54" t="s">
        <v>66</v>
      </c>
      <c r="D42" s="55" t="s">
        <v>88</v>
      </c>
      <c r="E42" s="55"/>
      <c r="F42" s="56">
        <v>7850.0</v>
      </c>
      <c r="G42" s="62"/>
      <c r="H42" s="58">
        <f t="shared" si="1"/>
        <v>7850</v>
      </c>
      <c r="I42" s="58"/>
      <c r="J42" s="61"/>
      <c r="K42" s="58"/>
      <c r="L42" s="61"/>
      <c r="M42" s="58"/>
      <c r="N42" s="95"/>
      <c r="O42" s="96"/>
      <c r="P42" s="100">
        <v>4811.75</v>
      </c>
      <c r="Q42" s="58">
        <f t="shared" si="2"/>
        <v>4811.75</v>
      </c>
      <c r="R42" s="97">
        <f t="shared" si="3"/>
        <v>0.6129617834</v>
      </c>
      <c r="S42" s="98">
        <f t="shared" si="4"/>
        <v>3038.25</v>
      </c>
      <c r="T42" s="98"/>
      <c r="U42" s="1"/>
      <c r="V42" s="102">
        <f t="shared" si="8"/>
        <v>3038.25</v>
      </c>
      <c r="W42" s="102"/>
      <c r="X42" s="102"/>
    </row>
    <row r="43" ht="15.75" customHeight="1">
      <c r="A43" s="21"/>
      <c r="B43" s="54" t="s">
        <v>89</v>
      </c>
      <c r="C43" s="54" t="s">
        <v>66</v>
      </c>
      <c r="D43" s="55" t="s">
        <v>90</v>
      </c>
      <c r="E43" s="55"/>
      <c r="F43" s="56">
        <v>24750.0</v>
      </c>
      <c r="G43" s="57">
        <v>-15000.0</v>
      </c>
      <c r="H43" s="58">
        <f t="shared" si="1"/>
        <v>9750</v>
      </c>
      <c r="I43" s="58"/>
      <c r="J43" s="61"/>
      <c r="K43" s="58"/>
      <c r="L43" s="61"/>
      <c r="M43" s="58"/>
      <c r="N43" s="95"/>
      <c r="O43" s="96"/>
      <c r="P43" s="100">
        <v>6051.5</v>
      </c>
      <c r="Q43" s="58">
        <f t="shared" si="2"/>
        <v>6051.5</v>
      </c>
      <c r="R43" s="97">
        <f t="shared" si="3"/>
        <v>0.6206666667</v>
      </c>
      <c r="S43" s="98">
        <f t="shared" si="4"/>
        <v>3698.5</v>
      </c>
      <c r="T43" s="98"/>
      <c r="U43" s="1"/>
      <c r="V43" s="104">
        <f t="shared" si="8"/>
        <v>3698.5</v>
      </c>
      <c r="W43" s="104"/>
      <c r="X43" s="104"/>
    </row>
    <row r="44" ht="15.75" customHeight="1">
      <c r="A44" s="21"/>
      <c r="B44" s="54" t="s">
        <v>91</v>
      </c>
      <c r="C44" s="54" t="s">
        <v>66</v>
      </c>
      <c r="D44" s="55" t="s">
        <v>92</v>
      </c>
      <c r="E44" s="55"/>
      <c r="F44" s="56">
        <v>340975.0</v>
      </c>
      <c r="G44" s="62"/>
      <c r="H44" s="58">
        <f t="shared" si="1"/>
        <v>340975</v>
      </c>
      <c r="I44" s="58"/>
      <c r="J44" s="61"/>
      <c r="K44" s="58"/>
      <c r="L44" s="61">
        <v>99384.0</v>
      </c>
      <c r="M44" s="58">
        <v>13764.08</v>
      </c>
      <c r="N44" s="108">
        <v>17929.49</v>
      </c>
      <c r="O44" s="100">
        <v>40993.65</v>
      </c>
      <c r="P44" s="100">
        <f>86933.77</f>
        <v>86933.77</v>
      </c>
      <c r="Q44" s="58">
        <f t="shared" si="2"/>
        <v>259004.99</v>
      </c>
      <c r="R44" s="97">
        <f t="shared" si="3"/>
        <v>0.7596011145</v>
      </c>
      <c r="S44" s="98">
        <f t="shared" si="4"/>
        <v>81970.01</v>
      </c>
      <c r="T44" s="98"/>
      <c r="U44" s="1"/>
      <c r="V44" s="102">
        <f t="shared" si="8"/>
        <v>81970.01</v>
      </c>
      <c r="W44" s="102"/>
      <c r="X44" s="102"/>
    </row>
    <row r="45" ht="15.75" customHeight="1">
      <c r="A45" s="21"/>
      <c r="B45" s="54" t="s">
        <v>93</v>
      </c>
      <c r="C45" s="54" t="s">
        <v>94</v>
      </c>
      <c r="D45" s="55" t="s">
        <v>95</v>
      </c>
      <c r="E45" s="55"/>
      <c r="F45" s="56">
        <v>342000.0</v>
      </c>
      <c r="G45" s="57">
        <v>9500.0</v>
      </c>
      <c r="H45" s="58">
        <f t="shared" si="1"/>
        <v>351500</v>
      </c>
      <c r="I45" s="58"/>
      <c r="J45" s="61"/>
      <c r="K45" s="58">
        <v>95000.0</v>
      </c>
      <c r="L45" s="61">
        <v>95000.0</v>
      </c>
      <c r="M45" s="58">
        <v>66500.0</v>
      </c>
      <c r="N45" s="95"/>
      <c r="O45" s="100">
        <v>95000.0</v>
      </c>
      <c r="P45" s="100">
        <f>76000+5429.33</f>
        <v>81429.33</v>
      </c>
      <c r="Q45" s="58">
        <f t="shared" si="2"/>
        <v>432929.33</v>
      </c>
      <c r="R45" s="97">
        <f t="shared" si="3"/>
        <v>1.23166239</v>
      </c>
      <c r="S45" s="98">
        <f t="shared" si="4"/>
        <v>-81429.33</v>
      </c>
      <c r="T45" s="98"/>
      <c r="U45" s="1"/>
      <c r="V45" s="104"/>
      <c r="W45" s="104"/>
      <c r="X45" s="107">
        <v>98500.0</v>
      </c>
      <c r="Y45" s="92" t="s">
        <v>190</v>
      </c>
    </row>
    <row r="46" ht="15.75" customHeight="1">
      <c r="A46" s="21"/>
      <c r="B46" s="54" t="s">
        <v>96</v>
      </c>
      <c r="C46" s="54" t="s">
        <v>94</v>
      </c>
      <c r="D46" s="55" t="s">
        <v>97</v>
      </c>
      <c r="E46" s="55"/>
      <c r="F46" s="56">
        <v>437274.1</v>
      </c>
      <c r="G46" s="62"/>
      <c r="H46" s="58">
        <f t="shared" si="1"/>
        <v>437274.1</v>
      </c>
      <c r="I46" s="58"/>
      <c r="J46" s="61"/>
      <c r="K46" s="58">
        <f>204.53+65420.1-3271.01</f>
        <v>62353.62</v>
      </c>
      <c r="L46" s="61"/>
      <c r="M46" s="58"/>
      <c r="N46" s="108">
        <v>135571.74</v>
      </c>
      <c r="O46" s="100">
        <v>185856.68</v>
      </c>
      <c r="P46" s="100">
        <f>185856.68</f>
        <v>185856.68</v>
      </c>
      <c r="Q46" s="58">
        <f t="shared" si="2"/>
        <v>569638.72</v>
      </c>
      <c r="R46" s="97">
        <f t="shared" si="3"/>
        <v>1.302704002</v>
      </c>
      <c r="S46" s="98">
        <f t="shared" si="4"/>
        <v>-132364.62</v>
      </c>
      <c r="T46" s="98"/>
      <c r="U46" s="1"/>
      <c r="V46" s="102">
        <f t="shared" ref="V46:V58" si="9">S46</f>
        <v>-132364.62</v>
      </c>
      <c r="W46" s="102"/>
      <c r="X46" s="102"/>
    </row>
    <row r="47" ht="15.75" customHeight="1">
      <c r="A47" s="21"/>
      <c r="B47" s="54" t="s">
        <v>98</v>
      </c>
      <c r="C47" s="54" t="s">
        <v>94</v>
      </c>
      <c r="D47" s="55" t="s">
        <v>99</v>
      </c>
      <c r="E47" s="55"/>
      <c r="F47" s="56">
        <v>10245.0</v>
      </c>
      <c r="G47" s="62"/>
      <c r="H47" s="58">
        <f t="shared" si="1"/>
        <v>10245</v>
      </c>
      <c r="I47" s="58"/>
      <c r="J47" s="61"/>
      <c r="K47" s="58"/>
      <c r="L47" s="61"/>
      <c r="M47" s="58"/>
      <c r="N47" s="95"/>
      <c r="O47" s="96"/>
      <c r="P47" s="96"/>
      <c r="Q47" s="58">
        <f t="shared" si="2"/>
        <v>0</v>
      </c>
      <c r="R47" s="97">
        <f t="shared" si="3"/>
        <v>0</v>
      </c>
      <c r="S47" s="98">
        <f t="shared" si="4"/>
        <v>10245</v>
      </c>
      <c r="T47" s="98"/>
      <c r="U47" s="1"/>
      <c r="V47" s="104">
        <f t="shared" si="9"/>
        <v>10245</v>
      </c>
      <c r="W47" s="104"/>
      <c r="X47" s="104"/>
    </row>
    <row r="48" ht="15.75" customHeight="1">
      <c r="A48" s="21"/>
      <c r="B48" s="54" t="s">
        <v>100</v>
      </c>
      <c r="C48" s="54" t="s">
        <v>94</v>
      </c>
      <c r="D48" s="55" t="s">
        <v>101</v>
      </c>
      <c r="E48" s="55"/>
      <c r="F48" s="56">
        <v>4250.0</v>
      </c>
      <c r="G48" s="62"/>
      <c r="H48" s="58">
        <f t="shared" si="1"/>
        <v>4250</v>
      </c>
      <c r="I48" s="58"/>
      <c r="J48" s="61"/>
      <c r="K48" s="58"/>
      <c r="L48" s="61"/>
      <c r="M48" s="58"/>
      <c r="N48" s="95"/>
      <c r="O48" s="96"/>
      <c r="P48" s="96"/>
      <c r="Q48" s="58">
        <f t="shared" si="2"/>
        <v>0</v>
      </c>
      <c r="R48" s="97">
        <f t="shared" si="3"/>
        <v>0</v>
      </c>
      <c r="S48" s="98">
        <f t="shared" si="4"/>
        <v>4250</v>
      </c>
      <c r="T48" s="98"/>
      <c r="U48" s="1"/>
      <c r="V48" s="102">
        <f t="shared" si="9"/>
        <v>4250</v>
      </c>
      <c r="W48" s="102"/>
      <c r="X48" s="102"/>
    </row>
    <row r="49" ht="15.75" customHeight="1">
      <c r="A49" s="21"/>
      <c r="B49" s="54" t="s">
        <v>102</v>
      </c>
      <c r="C49" s="54" t="s">
        <v>94</v>
      </c>
      <c r="D49" s="55" t="s">
        <v>103</v>
      </c>
      <c r="E49" s="55"/>
      <c r="F49" s="56">
        <v>1600.0</v>
      </c>
      <c r="G49" s="62"/>
      <c r="H49" s="58">
        <f t="shared" si="1"/>
        <v>1600</v>
      </c>
      <c r="I49" s="58"/>
      <c r="J49" s="61"/>
      <c r="K49" s="58"/>
      <c r="L49" s="61"/>
      <c r="M49" s="58"/>
      <c r="N49" s="95"/>
      <c r="O49" s="96"/>
      <c r="P49" s="96"/>
      <c r="Q49" s="58">
        <f t="shared" si="2"/>
        <v>0</v>
      </c>
      <c r="R49" s="97">
        <f t="shared" si="3"/>
        <v>0</v>
      </c>
      <c r="S49" s="98">
        <f t="shared" si="4"/>
        <v>1600</v>
      </c>
      <c r="T49" s="98"/>
      <c r="U49" s="1"/>
      <c r="V49" s="104">
        <f t="shared" si="9"/>
        <v>1600</v>
      </c>
      <c r="W49" s="104"/>
      <c r="X49" s="104"/>
    </row>
    <row r="50" ht="15.75" customHeight="1">
      <c r="A50" s="21"/>
      <c r="B50" s="54" t="s">
        <v>104</v>
      </c>
      <c r="C50" s="54" t="s">
        <v>94</v>
      </c>
      <c r="D50" s="55" t="s">
        <v>105</v>
      </c>
      <c r="E50" s="55"/>
      <c r="F50" s="56">
        <v>37850.0</v>
      </c>
      <c r="G50" s="62"/>
      <c r="H50" s="58">
        <f t="shared" si="1"/>
        <v>37850</v>
      </c>
      <c r="I50" s="58"/>
      <c r="J50" s="61"/>
      <c r="K50" s="58"/>
      <c r="L50" s="61"/>
      <c r="M50" s="58"/>
      <c r="N50" s="95"/>
      <c r="O50" s="96"/>
      <c r="P50" s="96"/>
      <c r="Q50" s="58">
        <f t="shared" si="2"/>
        <v>0</v>
      </c>
      <c r="R50" s="97">
        <f t="shared" si="3"/>
        <v>0</v>
      </c>
      <c r="S50" s="98">
        <f t="shared" si="4"/>
        <v>37850</v>
      </c>
      <c r="T50" s="98"/>
      <c r="U50" s="1"/>
      <c r="V50" s="102">
        <f t="shared" si="9"/>
        <v>37850</v>
      </c>
      <c r="W50" s="102"/>
      <c r="X50" s="102"/>
    </row>
    <row r="51" ht="15.75" customHeight="1">
      <c r="A51" s="21"/>
      <c r="B51" s="54" t="s">
        <v>106</v>
      </c>
      <c r="C51" s="54" t="s">
        <v>94</v>
      </c>
      <c r="D51" s="55" t="s">
        <v>107</v>
      </c>
      <c r="E51" s="55"/>
      <c r="F51" s="56">
        <v>257092.0</v>
      </c>
      <c r="G51" s="62"/>
      <c r="H51" s="58">
        <f t="shared" si="1"/>
        <v>257092</v>
      </c>
      <c r="I51" s="58"/>
      <c r="J51" s="61"/>
      <c r="K51" s="58"/>
      <c r="L51" s="61"/>
      <c r="M51" s="58"/>
      <c r="N51" s="95"/>
      <c r="O51" s="96"/>
      <c r="P51" s="100">
        <f>138008.97</f>
        <v>138008.97</v>
      </c>
      <c r="Q51" s="58">
        <f t="shared" si="2"/>
        <v>138008.97</v>
      </c>
      <c r="R51" s="97">
        <f t="shared" si="3"/>
        <v>0.5368077186</v>
      </c>
      <c r="S51" s="98">
        <f t="shared" si="4"/>
        <v>119083.03</v>
      </c>
      <c r="T51" s="98"/>
      <c r="U51" s="1"/>
      <c r="V51" s="104">
        <f t="shared" si="9"/>
        <v>119083.03</v>
      </c>
      <c r="W51" s="104"/>
      <c r="X51" s="104"/>
    </row>
    <row r="52" ht="15.75" customHeight="1">
      <c r="A52" s="21"/>
      <c r="B52" s="54" t="s">
        <v>108</v>
      </c>
      <c r="C52" s="54" t="s">
        <v>94</v>
      </c>
      <c r="D52" s="55" t="s">
        <v>109</v>
      </c>
      <c r="E52" s="55"/>
      <c r="F52" s="56">
        <v>2450.0</v>
      </c>
      <c r="G52" s="62"/>
      <c r="H52" s="58">
        <f t="shared" si="1"/>
        <v>2450</v>
      </c>
      <c r="I52" s="58"/>
      <c r="J52" s="61"/>
      <c r="K52" s="58"/>
      <c r="L52" s="61"/>
      <c r="M52" s="58"/>
      <c r="N52" s="95"/>
      <c r="O52" s="96"/>
      <c r="P52" s="100">
        <v>1272.3</v>
      </c>
      <c r="Q52" s="58">
        <f t="shared" si="2"/>
        <v>1272.3</v>
      </c>
      <c r="R52" s="97">
        <f t="shared" si="3"/>
        <v>0.5193061224</v>
      </c>
      <c r="S52" s="98">
        <f t="shared" si="4"/>
        <v>1177.7</v>
      </c>
      <c r="T52" s="98"/>
      <c r="U52" s="1"/>
      <c r="V52" s="102">
        <f t="shared" si="9"/>
        <v>1177.7</v>
      </c>
      <c r="W52" s="102"/>
      <c r="X52" s="102"/>
    </row>
    <row r="53" ht="15.75" customHeight="1">
      <c r="A53" s="21"/>
      <c r="B53" s="54" t="s">
        <v>110</v>
      </c>
      <c r="C53" s="54" t="s">
        <v>111</v>
      </c>
      <c r="D53" s="55" t="s">
        <v>112</v>
      </c>
      <c r="E53" s="55"/>
      <c r="F53" s="56">
        <v>184000.0</v>
      </c>
      <c r="G53" s="57">
        <v>-15000.0</v>
      </c>
      <c r="H53" s="58">
        <f t="shared" si="1"/>
        <v>169000</v>
      </c>
      <c r="I53" s="58"/>
      <c r="J53" s="61"/>
      <c r="K53" s="58"/>
      <c r="L53" s="61"/>
      <c r="M53" s="58"/>
      <c r="N53" s="95"/>
      <c r="O53" s="96"/>
      <c r="P53" s="100">
        <f>78001.63</f>
        <v>78001.63</v>
      </c>
      <c r="Q53" s="58">
        <f t="shared" si="2"/>
        <v>78001.63</v>
      </c>
      <c r="R53" s="97">
        <f t="shared" si="3"/>
        <v>0.4615481065</v>
      </c>
      <c r="S53" s="98">
        <f t="shared" si="4"/>
        <v>90998.37</v>
      </c>
      <c r="T53" s="98"/>
      <c r="U53" s="1"/>
      <c r="V53" s="104">
        <f t="shared" si="9"/>
        <v>90998.37</v>
      </c>
      <c r="W53" s="104"/>
      <c r="X53" s="104"/>
    </row>
    <row r="54" ht="15.75" customHeight="1">
      <c r="A54" s="21"/>
      <c r="B54" s="54" t="s">
        <v>113</v>
      </c>
      <c r="C54" s="54" t="s">
        <v>111</v>
      </c>
      <c r="D54" s="55" t="s">
        <v>114</v>
      </c>
      <c r="E54" s="55"/>
      <c r="F54" s="56">
        <v>517942.26</v>
      </c>
      <c r="G54" s="62"/>
      <c r="H54" s="58">
        <f t="shared" si="1"/>
        <v>517942.26</v>
      </c>
      <c r="I54" s="58"/>
      <c r="J54" s="61"/>
      <c r="K54" s="58"/>
      <c r="L54" s="61"/>
      <c r="M54" s="58"/>
      <c r="N54" s="95"/>
      <c r="O54" s="100">
        <f>97540.46+422878.53</f>
        <v>520418.99</v>
      </c>
      <c r="P54" s="96"/>
      <c r="Q54" s="58">
        <f t="shared" si="2"/>
        <v>520418.99</v>
      </c>
      <c r="R54" s="97">
        <f t="shared" si="3"/>
        <v>1.004781865</v>
      </c>
      <c r="S54" s="98">
        <f t="shared" si="4"/>
        <v>-2476.73</v>
      </c>
      <c r="T54" s="98"/>
      <c r="U54" s="1"/>
      <c r="V54" s="102">
        <f t="shared" si="9"/>
        <v>-2476.73</v>
      </c>
      <c r="W54" s="102"/>
      <c r="X54" s="107">
        <v>3000.0</v>
      </c>
    </row>
    <row r="55" ht="15.75" customHeight="1">
      <c r="A55" s="21"/>
      <c r="B55" s="54" t="s">
        <v>115</v>
      </c>
      <c r="C55" s="54" t="s">
        <v>111</v>
      </c>
      <c r="D55" s="55" t="s">
        <v>116</v>
      </c>
      <c r="E55" s="55"/>
      <c r="F55" s="56">
        <v>15000.0</v>
      </c>
      <c r="G55" s="62"/>
      <c r="H55" s="58">
        <f t="shared" si="1"/>
        <v>15000</v>
      </c>
      <c r="I55" s="58"/>
      <c r="J55" s="61"/>
      <c r="K55" s="58"/>
      <c r="L55" s="61"/>
      <c r="M55" s="58"/>
      <c r="N55" s="95"/>
      <c r="O55" s="96"/>
      <c r="P55" s="100">
        <v>4956.0</v>
      </c>
      <c r="Q55" s="58">
        <f t="shared" si="2"/>
        <v>4956</v>
      </c>
      <c r="R55" s="97">
        <f t="shared" si="3"/>
        <v>0.3304</v>
      </c>
      <c r="S55" s="98">
        <f t="shared" si="4"/>
        <v>10044</v>
      </c>
      <c r="T55" s="98"/>
      <c r="U55" s="1"/>
      <c r="V55" s="104">
        <f t="shared" si="9"/>
        <v>10044</v>
      </c>
      <c r="W55" s="104"/>
      <c r="X55" s="104"/>
    </row>
    <row r="56" ht="15.75" customHeight="1">
      <c r="A56" s="21"/>
      <c r="B56" s="54" t="s">
        <v>118</v>
      </c>
      <c r="C56" s="54" t="s">
        <v>111</v>
      </c>
      <c r="D56" s="55" t="s">
        <v>119</v>
      </c>
      <c r="E56" s="55"/>
      <c r="F56" s="56">
        <v>25000.0</v>
      </c>
      <c r="G56" s="62"/>
      <c r="H56" s="58">
        <f t="shared" si="1"/>
        <v>25000</v>
      </c>
      <c r="I56" s="58"/>
      <c r="J56" s="61"/>
      <c r="K56" s="58"/>
      <c r="L56" s="61"/>
      <c r="M56" s="58"/>
      <c r="N56" s="95"/>
      <c r="O56" s="100">
        <v>7222.64</v>
      </c>
      <c r="P56" s="96"/>
      <c r="Q56" s="58">
        <f t="shared" si="2"/>
        <v>7222.64</v>
      </c>
      <c r="R56" s="97">
        <f t="shared" si="3"/>
        <v>0.2889056</v>
      </c>
      <c r="S56" s="98">
        <f t="shared" si="4"/>
        <v>17777.36</v>
      </c>
      <c r="T56" s="98"/>
      <c r="U56" s="1"/>
      <c r="V56" s="102">
        <f t="shared" si="9"/>
        <v>17777.36</v>
      </c>
      <c r="W56" s="102"/>
      <c r="X56" s="102"/>
    </row>
    <row r="57" ht="15.75" customHeight="1">
      <c r="A57" s="21"/>
      <c r="B57" s="54" t="s">
        <v>120</v>
      </c>
      <c r="C57" s="54" t="s">
        <v>111</v>
      </c>
      <c r="D57" s="55" t="s">
        <v>121</v>
      </c>
      <c r="E57" s="55"/>
      <c r="F57" s="56">
        <v>8000.0</v>
      </c>
      <c r="G57" s="62"/>
      <c r="H57" s="58">
        <f t="shared" si="1"/>
        <v>8000</v>
      </c>
      <c r="I57" s="58"/>
      <c r="J57" s="61"/>
      <c r="K57" s="58"/>
      <c r="L57" s="61"/>
      <c r="M57" s="58"/>
      <c r="N57" s="95"/>
      <c r="O57" s="96"/>
      <c r="P57" s="96"/>
      <c r="Q57" s="58">
        <f t="shared" si="2"/>
        <v>0</v>
      </c>
      <c r="R57" s="97">
        <f t="shared" si="3"/>
        <v>0</v>
      </c>
      <c r="S57" s="98">
        <f t="shared" si="4"/>
        <v>8000</v>
      </c>
      <c r="T57" s="98"/>
      <c r="U57" s="1"/>
      <c r="V57" s="104">
        <f t="shared" si="9"/>
        <v>8000</v>
      </c>
      <c r="W57" s="104"/>
      <c r="X57" s="104"/>
    </row>
    <row r="58" ht="15.75" customHeight="1">
      <c r="A58" s="21"/>
      <c r="B58" s="54" t="s">
        <v>123</v>
      </c>
      <c r="C58" s="54" t="s">
        <v>111</v>
      </c>
      <c r="D58" s="55" t="s">
        <v>124</v>
      </c>
      <c r="E58" s="55"/>
      <c r="F58" s="56">
        <v>42500.0</v>
      </c>
      <c r="G58" s="62"/>
      <c r="H58" s="58">
        <f t="shared" si="1"/>
        <v>42500</v>
      </c>
      <c r="I58" s="58"/>
      <c r="J58" s="61"/>
      <c r="K58" s="58"/>
      <c r="L58" s="61"/>
      <c r="M58" s="58"/>
      <c r="N58" s="108">
        <v>26645.75</v>
      </c>
      <c r="O58" s="96"/>
      <c r="P58" s="100">
        <f>17046.65</f>
        <v>17046.65</v>
      </c>
      <c r="Q58" s="58">
        <f t="shared" si="2"/>
        <v>43692.4</v>
      </c>
      <c r="R58" s="97">
        <f t="shared" si="3"/>
        <v>1.028056471</v>
      </c>
      <c r="S58" s="98">
        <f t="shared" si="4"/>
        <v>-1192.4</v>
      </c>
      <c r="T58" s="98"/>
      <c r="U58" s="1"/>
      <c r="V58" s="102">
        <f t="shared" si="9"/>
        <v>-1192.4</v>
      </c>
      <c r="W58" s="102"/>
      <c r="X58" s="106"/>
    </row>
    <row r="59" ht="15.75" customHeight="1">
      <c r="A59" s="21"/>
      <c r="B59" s="54" t="s">
        <v>125</v>
      </c>
      <c r="C59" s="54" t="s">
        <v>126</v>
      </c>
      <c r="D59" s="55" t="s">
        <v>127</v>
      </c>
      <c r="E59" s="55"/>
      <c r="F59" s="56">
        <v>250000.0</v>
      </c>
      <c r="G59" s="57">
        <v>-43882.07</v>
      </c>
      <c r="H59" s="58">
        <f t="shared" si="1"/>
        <v>206117.93</v>
      </c>
      <c r="I59" s="58">
        <v>72500.0</v>
      </c>
      <c r="J59" s="61">
        <v>55251.03</v>
      </c>
      <c r="K59" s="58"/>
      <c r="L59" s="61"/>
      <c r="M59" s="58"/>
      <c r="N59" s="108">
        <v>2663.35</v>
      </c>
      <c r="O59" s="100">
        <f>8274.01+26865.31+941.55</f>
        <v>36080.87</v>
      </c>
      <c r="P59" s="100">
        <v>175.0</v>
      </c>
      <c r="Q59" s="58">
        <f t="shared" si="2"/>
        <v>166670.25</v>
      </c>
      <c r="R59" s="97">
        <f t="shared" si="3"/>
        <v>0.8086159705</v>
      </c>
      <c r="S59" s="98">
        <f t="shared" si="4"/>
        <v>39447.68</v>
      </c>
      <c r="T59" s="98"/>
      <c r="U59" s="1"/>
      <c r="V59" s="103"/>
      <c r="W59" s="103"/>
      <c r="X59" s="104"/>
    </row>
    <row r="60" ht="15.75" customHeight="1">
      <c r="A60" s="21"/>
      <c r="B60" s="54" t="s">
        <v>128</v>
      </c>
      <c r="C60" s="54" t="s">
        <v>126</v>
      </c>
      <c r="D60" s="55" t="s">
        <v>129</v>
      </c>
      <c r="E60" s="55"/>
      <c r="F60" s="56">
        <v>25000.0</v>
      </c>
      <c r="G60" s="62"/>
      <c r="H60" s="58">
        <f t="shared" si="1"/>
        <v>25000</v>
      </c>
      <c r="I60" s="58">
        <v>10000.0</v>
      </c>
      <c r="J60" s="61">
        <v>15000.0</v>
      </c>
      <c r="K60" s="58"/>
      <c r="L60" s="61"/>
      <c r="M60" s="58"/>
      <c r="N60" s="95"/>
      <c r="O60" s="96"/>
      <c r="P60" s="96"/>
      <c r="Q60" s="58">
        <f t="shared" si="2"/>
        <v>25000</v>
      </c>
      <c r="R60" s="97">
        <f t="shared" si="3"/>
        <v>1</v>
      </c>
      <c r="S60" s="98">
        <f t="shared" si="4"/>
        <v>0</v>
      </c>
      <c r="T60" s="98"/>
      <c r="U60" s="1"/>
      <c r="V60" s="99">
        <v>0.0</v>
      </c>
      <c r="W60" s="99"/>
      <c r="X60" s="102"/>
    </row>
    <row r="61" ht="15.75" customHeight="1">
      <c r="A61" s="21"/>
      <c r="B61" s="54" t="s">
        <v>130</v>
      </c>
      <c r="C61" s="54" t="s">
        <v>126</v>
      </c>
      <c r="D61" s="55" t="s">
        <v>131</v>
      </c>
      <c r="E61" s="55"/>
      <c r="F61" s="56">
        <v>7000.0</v>
      </c>
      <c r="G61" s="62"/>
      <c r="H61" s="58">
        <f t="shared" si="1"/>
        <v>7000</v>
      </c>
      <c r="I61" s="58"/>
      <c r="J61" s="61">
        <v>362.35</v>
      </c>
      <c r="K61" s="58">
        <f>699.4+699.4+699.4</f>
        <v>2098.2</v>
      </c>
      <c r="L61" s="61"/>
      <c r="M61" s="58">
        <f>699.4+739.39+739.39</f>
        <v>2178.18</v>
      </c>
      <c r="N61" s="108">
        <f>739.39</f>
        <v>739.39</v>
      </c>
      <c r="O61" s="100">
        <v>1478.78</v>
      </c>
      <c r="P61" s="100">
        <v>1478.78</v>
      </c>
      <c r="Q61" s="58">
        <f t="shared" si="2"/>
        <v>8335.68</v>
      </c>
      <c r="R61" s="97">
        <f t="shared" si="3"/>
        <v>1.190811429</v>
      </c>
      <c r="S61" s="98">
        <f t="shared" si="4"/>
        <v>-1335.68</v>
      </c>
      <c r="T61" s="98"/>
      <c r="U61" s="1"/>
      <c r="V61" s="104">
        <f>S61</f>
        <v>-1335.68</v>
      </c>
      <c r="W61" s="104"/>
      <c r="X61" s="107">
        <v>1500.0</v>
      </c>
    </row>
    <row r="62" ht="15.75" customHeight="1">
      <c r="A62" s="21"/>
      <c r="B62" s="54" t="s">
        <v>132</v>
      </c>
      <c r="C62" s="54" t="s">
        <v>126</v>
      </c>
      <c r="D62" s="55" t="s">
        <v>133</v>
      </c>
      <c r="E62" s="55"/>
      <c r="F62" s="56">
        <v>25000.0</v>
      </c>
      <c r="G62" s="57">
        <v>815.83</v>
      </c>
      <c r="H62" s="58">
        <f t="shared" si="1"/>
        <v>25815.83</v>
      </c>
      <c r="I62" s="58"/>
      <c r="J62" s="61"/>
      <c r="K62" s="58">
        <f>251.63+260.43+271.43+914.66+7253.28</f>
        <v>8951.43</v>
      </c>
      <c r="L62" s="61">
        <v>4698.26</v>
      </c>
      <c r="M62" s="58">
        <v>3953.04</v>
      </c>
      <c r="N62" s="108">
        <f>4758.94</f>
        <v>4758.94</v>
      </c>
      <c r="O62" s="100">
        <v>3454.16</v>
      </c>
      <c r="P62" s="100">
        <f>11466.75+6095.62</f>
        <v>17562.37</v>
      </c>
      <c r="Q62" s="58">
        <f t="shared" si="2"/>
        <v>43378.2</v>
      </c>
      <c r="R62" s="97">
        <f t="shared" si="3"/>
        <v>1.68029461</v>
      </c>
      <c r="S62" s="98">
        <f t="shared" si="4"/>
        <v>-17562.37</v>
      </c>
      <c r="T62" s="98"/>
      <c r="U62" s="1"/>
      <c r="V62" s="102"/>
      <c r="W62" s="102"/>
      <c r="X62" s="107">
        <v>2500.0</v>
      </c>
    </row>
    <row r="63" ht="15.75" customHeight="1">
      <c r="A63" s="21"/>
      <c r="B63" s="54" t="s">
        <v>134</v>
      </c>
      <c r="C63" s="54" t="s">
        <v>126</v>
      </c>
      <c r="D63" s="55" t="s">
        <v>135</v>
      </c>
      <c r="E63" s="55"/>
      <c r="F63" s="56">
        <v>6000.0</v>
      </c>
      <c r="G63" s="62"/>
      <c r="H63" s="58">
        <f t="shared" si="1"/>
        <v>6000</v>
      </c>
      <c r="I63" s="58"/>
      <c r="J63" s="61"/>
      <c r="K63" s="58"/>
      <c r="L63" s="61"/>
      <c r="M63" s="58"/>
      <c r="N63" s="95"/>
      <c r="O63" s="96"/>
      <c r="P63" s="96"/>
      <c r="Q63" s="58">
        <f t="shared" si="2"/>
        <v>0</v>
      </c>
      <c r="R63" s="97">
        <f t="shared" si="3"/>
        <v>0</v>
      </c>
      <c r="S63" s="98">
        <f t="shared" si="4"/>
        <v>6000</v>
      </c>
      <c r="T63" s="98"/>
      <c r="U63" s="1"/>
      <c r="V63" s="104">
        <f t="shared" ref="V63:V67" si="10">S63</f>
        <v>6000</v>
      </c>
      <c r="W63" s="104"/>
      <c r="X63" s="106"/>
    </row>
    <row r="64" ht="15.75" customHeight="1">
      <c r="A64" s="21"/>
      <c r="B64" s="54" t="s">
        <v>136</v>
      </c>
      <c r="C64" s="54" t="s">
        <v>126</v>
      </c>
      <c r="D64" s="55" t="s">
        <v>137</v>
      </c>
      <c r="E64" s="55"/>
      <c r="F64" s="56">
        <v>30000.0</v>
      </c>
      <c r="G64" s="62"/>
      <c r="H64" s="58">
        <f t="shared" si="1"/>
        <v>30000</v>
      </c>
      <c r="I64" s="58"/>
      <c r="J64" s="61">
        <v>3400.0</v>
      </c>
      <c r="K64" s="58"/>
      <c r="L64" s="61">
        <v>405.0</v>
      </c>
      <c r="M64" s="58">
        <v>6300.0</v>
      </c>
      <c r="N64" s="108">
        <v>4110.0</v>
      </c>
      <c r="O64" s="100">
        <v>180.0</v>
      </c>
      <c r="P64" s="100">
        <f>315+7510+2040</f>
        <v>9865</v>
      </c>
      <c r="Q64" s="58">
        <f t="shared" si="2"/>
        <v>24260</v>
      </c>
      <c r="R64" s="97">
        <f t="shared" si="3"/>
        <v>0.8086666667</v>
      </c>
      <c r="S64" s="98">
        <f t="shared" si="4"/>
        <v>5740</v>
      </c>
      <c r="T64" s="98"/>
      <c r="U64" s="1"/>
      <c r="V64" s="102">
        <f t="shared" si="10"/>
        <v>5740</v>
      </c>
      <c r="W64" s="102"/>
      <c r="X64" s="102"/>
    </row>
    <row r="65" ht="15.75" customHeight="1">
      <c r="A65" s="21"/>
      <c r="B65" s="54" t="s">
        <v>138</v>
      </c>
      <c r="C65" s="54" t="s">
        <v>126</v>
      </c>
      <c r="D65" s="55" t="s">
        <v>139</v>
      </c>
      <c r="E65" s="55"/>
      <c r="F65" s="56">
        <v>50000.0</v>
      </c>
      <c r="G65" s="62"/>
      <c r="H65" s="58">
        <f t="shared" si="1"/>
        <v>50000</v>
      </c>
      <c r="I65" s="58"/>
      <c r="J65" s="61"/>
      <c r="K65" s="58"/>
      <c r="L65" s="61"/>
      <c r="M65" s="58"/>
      <c r="N65" s="95"/>
      <c r="O65" s="96"/>
      <c r="P65" s="96"/>
      <c r="Q65" s="58">
        <f t="shared" si="2"/>
        <v>0</v>
      </c>
      <c r="R65" s="97">
        <f t="shared" si="3"/>
        <v>0</v>
      </c>
      <c r="S65" s="98">
        <f t="shared" si="4"/>
        <v>50000</v>
      </c>
      <c r="T65" s="98"/>
      <c r="U65" s="1"/>
      <c r="V65" s="104">
        <f t="shared" si="10"/>
        <v>50000</v>
      </c>
      <c r="W65" s="104"/>
      <c r="X65" s="104"/>
    </row>
    <row r="66" ht="15.75" customHeight="1">
      <c r="A66" s="21"/>
      <c r="B66" s="54" t="s">
        <v>140</v>
      </c>
      <c r="C66" s="54" t="s">
        <v>126</v>
      </c>
      <c r="D66" s="55" t="s">
        <v>141</v>
      </c>
      <c r="E66" s="55"/>
      <c r="F66" s="56">
        <v>5000.0</v>
      </c>
      <c r="G66" s="62"/>
      <c r="H66" s="58">
        <f t="shared" si="1"/>
        <v>5000</v>
      </c>
      <c r="I66" s="58"/>
      <c r="J66" s="61"/>
      <c r="K66" s="58"/>
      <c r="L66" s="61"/>
      <c r="M66" s="58"/>
      <c r="N66" s="95"/>
      <c r="O66" s="96"/>
      <c r="P66" s="96"/>
      <c r="Q66" s="58">
        <f t="shared" si="2"/>
        <v>0</v>
      </c>
      <c r="R66" s="97">
        <f t="shared" si="3"/>
        <v>0</v>
      </c>
      <c r="S66" s="98">
        <f t="shared" si="4"/>
        <v>5000</v>
      </c>
      <c r="T66" s="98"/>
      <c r="U66" s="1"/>
      <c r="V66" s="102">
        <f t="shared" si="10"/>
        <v>5000</v>
      </c>
      <c r="W66" s="102"/>
      <c r="X66" s="102"/>
    </row>
    <row r="67" ht="15.75" customHeight="1">
      <c r="A67" s="21"/>
      <c r="B67" s="54" t="s">
        <v>142</v>
      </c>
      <c r="C67" s="54" t="s">
        <v>126</v>
      </c>
      <c r="D67" s="55" t="s">
        <v>143</v>
      </c>
      <c r="E67" s="55"/>
      <c r="F67" s="56">
        <v>5000.0</v>
      </c>
      <c r="G67" s="62"/>
      <c r="H67" s="58">
        <f t="shared" si="1"/>
        <v>5000</v>
      </c>
      <c r="I67" s="58"/>
      <c r="J67" s="61"/>
      <c r="K67" s="58"/>
      <c r="L67" s="61"/>
      <c r="M67" s="58"/>
      <c r="N67" s="95"/>
      <c r="O67" s="96"/>
      <c r="P67" s="96"/>
      <c r="Q67" s="58">
        <f t="shared" si="2"/>
        <v>0</v>
      </c>
      <c r="R67" s="97">
        <f t="shared" si="3"/>
        <v>0</v>
      </c>
      <c r="S67" s="98">
        <f t="shared" si="4"/>
        <v>5000</v>
      </c>
      <c r="T67" s="98"/>
      <c r="U67" s="1"/>
      <c r="V67" s="104">
        <f t="shared" si="10"/>
        <v>5000</v>
      </c>
      <c r="W67" s="104"/>
      <c r="X67" s="104"/>
    </row>
    <row r="68" ht="15.75" customHeight="1">
      <c r="A68" s="21"/>
      <c r="B68" s="54" t="s">
        <v>144</v>
      </c>
      <c r="C68" s="54" t="s">
        <v>126</v>
      </c>
      <c r="D68" s="55" t="s">
        <v>145</v>
      </c>
      <c r="E68" s="55"/>
      <c r="F68" s="56">
        <v>3500.0</v>
      </c>
      <c r="G68" s="57">
        <v>140.0</v>
      </c>
      <c r="H68" s="58">
        <f t="shared" si="1"/>
        <v>3640</v>
      </c>
      <c r="I68" s="58">
        <v>450.0</v>
      </c>
      <c r="J68" s="61">
        <v>450.0</v>
      </c>
      <c r="K68" s="58">
        <v>940.0</v>
      </c>
      <c r="L68" s="61">
        <v>450.0</v>
      </c>
      <c r="M68" s="58">
        <v>450.0</v>
      </c>
      <c r="N68" s="108">
        <v>450.0</v>
      </c>
      <c r="O68" s="100">
        <v>450.0</v>
      </c>
      <c r="P68" s="100">
        <f>750+450+450</f>
        <v>1650</v>
      </c>
      <c r="Q68" s="58">
        <f t="shared" si="2"/>
        <v>5290</v>
      </c>
      <c r="R68" s="97">
        <f t="shared" si="3"/>
        <v>1.453296703</v>
      </c>
      <c r="S68" s="98">
        <f t="shared" si="4"/>
        <v>-1650</v>
      </c>
      <c r="T68" s="98"/>
      <c r="U68" s="1"/>
      <c r="V68" s="99">
        <v>1500.0</v>
      </c>
      <c r="W68" s="99"/>
      <c r="X68" s="107"/>
    </row>
    <row r="69" ht="15.75" customHeight="1">
      <c r="A69" s="21"/>
      <c r="B69" s="54" t="s">
        <v>146</v>
      </c>
      <c r="C69" s="54" t="s">
        <v>126</v>
      </c>
      <c r="D69" s="55" t="s">
        <v>147</v>
      </c>
      <c r="E69" s="55"/>
      <c r="F69" s="56">
        <v>7500.0</v>
      </c>
      <c r="G69" s="62"/>
      <c r="H69" s="58">
        <f t="shared" si="1"/>
        <v>7500</v>
      </c>
      <c r="I69" s="58">
        <v>216.17</v>
      </c>
      <c r="J69" s="61">
        <v>122.62</v>
      </c>
      <c r="K69" s="58">
        <f>437.71+2600</f>
        <v>3037.71</v>
      </c>
      <c r="L69" s="61">
        <v>152.71</v>
      </c>
      <c r="M69" s="58">
        <f>11.2+57.42</f>
        <v>68.62</v>
      </c>
      <c r="N69" s="108">
        <v>368.53</v>
      </c>
      <c r="O69" s="100">
        <f>968.6+23.17</f>
        <v>991.77</v>
      </c>
      <c r="P69" s="100">
        <f>594.15+34.6+210.01</f>
        <v>838.76</v>
      </c>
      <c r="Q69" s="58">
        <f t="shared" si="2"/>
        <v>5796.89</v>
      </c>
      <c r="R69" s="97">
        <f t="shared" si="3"/>
        <v>0.7729186667</v>
      </c>
      <c r="S69" s="98">
        <f t="shared" si="4"/>
        <v>1703.11</v>
      </c>
      <c r="T69" s="98"/>
      <c r="U69" s="1"/>
      <c r="V69" s="104">
        <f t="shared" ref="V69:V70" si="11">S69</f>
        <v>1703.11</v>
      </c>
      <c r="W69" s="104"/>
      <c r="X69" s="104"/>
    </row>
    <row r="70" ht="15.75" customHeight="1">
      <c r="A70" s="21"/>
      <c r="B70" s="54" t="s">
        <v>148</v>
      </c>
      <c r="C70" s="54" t="s">
        <v>126</v>
      </c>
      <c r="D70" s="55" t="s">
        <v>149</v>
      </c>
      <c r="E70" s="55"/>
      <c r="F70" s="56">
        <v>15000.0</v>
      </c>
      <c r="G70" s="62"/>
      <c r="H70" s="58">
        <f t="shared" si="1"/>
        <v>15000</v>
      </c>
      <c r="I70" s="58"/>
      <c r="J70" s="61"/>
      <c r="K70" s="58">
        <v>100.0</v>
      </c>
      <c r="L70" s="61">
        <f>50+2096.73</f>
        <v>2146.73</v>
      </c>
      <c r="M70" s="58">
        <f>2096.73+2096.73+22.62</f>
        <v>4216.08</v>
      </c>
      <c r="N70" s="95"/>
      <c r="O70" s="96"/>
      <c r="P70" s="100">
        <v>538.58</v>
      </c>
      <c r="Q70" s="58">
        <f t="shared" si="2"/>
        <v>7001.39</v>
      </c>
      <c r="R70" s="97">
        <f t="shared" si="3"/>
        <v>0.4667593333</v>
      </c>
      <c r="S70" s="98">
        <f t="shared" si="4"/>
        <v>7998.61</v>
      </c>
      <c r="T70" s="98"/>
      <c r="U70" s="1"/>
      <c r="V70" s="102">
        <f t="shared" si="11"/>
        <v>7998.61</v>
      </c>
      <c r="W70" s="102"/>
      <c r="X70" s="102"/>
    </row>
    <row r="71" ht="15.75" customHeight="1">
      <c r="A71" s="21"/>
      <c r="B71" s="54" t="s">
        <v>150</v>
      </c>
      <c r="C71" s="54" t="s">
        <v>126</v>
      </c>
      <c r="D71" s="55" t="s">
        <v>151</v>
      </c>
      <c r="E71" s="55"/>
      <c r="F71" s="56">
        <v>30000.0</v>
      </c>
      <c r="G71" s="62"/>
      <c r="H71" s="58">
        <f t="shared" si="1"/>
        <v>30000</v>
      </c>
      <c r="I71" s="58"/>
      <c r="J71" s="61">
        <v>5641.15</v>
      </c>
      <c r="K71" s="58">
        <f>1128.23</f>
        <v>1128.23</v>
      </c>
      <c r="L71" s="61">
        <v>1128.23</v>
      </c>
      <c r="M71" s="58"/>
      <c r="N71" s="108">
        <f>1250+1019.02+1128.23+1128.23</f>
        <v>4525.48</v>
      </c>
      <c r="O71" s="96"/>
      <c r="P71" s="100">
        <f>1000+1800+1128.23</f>
        <v>3928.23</v>
      </c>
      <c r="Q71" s="58">
        <f t="shared" si="2"/>
        <v>16351.32</v>
      </c>
      <c r="R71" s="97">
        <f t="shared" si="3"/>
        <v>0.545044</v>
      </c>
      <c r="S71" s="98">
        <f t="shared" si="4"/>
        <v>13648.68</v>
      </c>
      <c r="T71" s="98"/>
      <c r="U71" s="1"/>
      <c r="V71" s="109">
        <v>5000.0</v>
      </c>
      <c r="W71" s="109"/>
      <c r="X71" s="104"/>
    </row>
    <row r="72" ht="15.75" customHeight="1">
      <c r="A72" s="21"/>
      <c r="B72" s="54" t="s">
        <v>153</v>
      </c>
      <c r="C72" s="54" t="s">
        <v>126</v>
      </c>
      <c r="D72" s="55" t="s">
        <v>154</v>
      </c>
      <c r="E72" s="55"/>
      <c r="F72" s="56">
        <v>15000.0</v>
      </c>
      <c r="G72" s="62"/>
      <c r="H72" s="58">
        <f t="shared" si="1"/>
        <v>15000</v>
      </c>
      <c r="I72" s="58">
        <v>5742.5</v>
      </c>
      <c r="J72" s="61">
        <v>4661.18</v>
      </c>
      <c r="K72" s="58"/>
      <c r="L72" s="61"/>
      <c r="M72" s="58">
        <f>1570+1920</f>
        <v>3490</v>
      </c>
      <c r="N72" s="108">
        <v>500.0</v>
      </c>
      <c r="O72" s="96"/>
      <c r="P72" s="96"/>
      <c r="Q72" s="58">
        <f t="shared" si="2"/>
        <v>14393.68</v>
      </c>
      <c r="R72" s="97">
        <f t="shared" si="3"/>
        <v>0.9595786667</v>
      </c>
      <c r="S72" s="98">
        <f t="shared" si="4"/>
        <v>606.32</v>
      </c>
      <c r="T72" s="98"/>
      <c r="U72" s="1"/>
      <c r="V72" s="109">
        <v>0.0</v>
      </c>
      <c r="W72" s="109"/>
      <c r="X72" s="102"/>
    </row>
    <row r="73" ht="15.75" customHeight="1">
      <c r="A73" s="21"/>
      <c r="B73" s="54" t="s">
        <v>155</v>
      </c>
      <c r="C73" s="54" t="s">
        <v>126</v>
      </c>
      <c r="D73" s="55" t="s">
        <v>156</v>
      </c>
      <c r="E73" s="55"/>
      <c r="F73" s="56">
        <v>10000.0</v>
      </c>
      <c r="G73" s="57">
        <v>-5000.0</v>
      </c>
      <c r="H73" s="58">
        <f t="shared" si="1"/>
        <v>5000</v>
      </c>
      <c r="I73" s="58"/>
      <c r="J73" s="61"/>
      <c r="K73" s="58"/>
      <c r="L73" s="61"/>
      <c r="M73" s="58"/>
      <c r="N73" s="95"/>
      <c r="O73" s="96"/>
      <c r="P73" s="96"/>
      <c r="Q73" s="58">
        <f t="shared" si="2"/>
        <v>0</v>
      </c>
      <c r="R73" s="97">
        <f t="shared" si="3"/>
        <v>0</v>
      </c>
      <c r="S73" s="98">
        <f t="shared" si="4"/>
        <v>5000</v>
      </c>
      <c r="T73" s="98"/>
      <c r="U73" s="1"/>
      <c r="V73" s="104">
        <f t="shared" ref="V73:V74" si="12">S73</f>
        <v>5000</v>
      </c>
      <c r="W73" s="104"/>
      <c r="X73" s="104"/>
    </row>
    <row r="74" ht="15.75" customHeight="1">
      <c r="A74" s="21"/>
      <c r="B74" s="54" t="s">
        <v>157</v>
      </c>
      <c r="C74" s="54" t="s">
        <v>126</v>
      </c>
      <c r="D74" s="55" t="s">
        <v>158</v>
      </c>
      <c r="E74" s="55"/>
      <c r="F74" s="56">
        <v>30000.0</v>
      </c>
      <c r="G74" s="62"/>
      <c r="H74" s="58">
        <f t="shared" si="1"/>
        <v>30000</v>
      </c>
      <c r="I74" s="58"/>
      <c r="J74" s="61">
        <v>779.31</v>
      </c>
      <c r="K74" s="58"/>
      <c r="L74" s="61"/>
      <c r="M74" s="58">
        <f>1258.23+781.19+916.99+178.67</f>
        <v>3135.08</v>
      </c>
      <c r="N74" s="95"/>
      <c r="O74" s="96"/>
      <c r="P74" s="100">
        <f>6000+2469.08</f>
        <v>8469.08</v>
      </c>
      <c r="Q74" s="58">
        <f t="shared" si="2"/>
        <v>12383.47</v>
      </c>
      <c r="R74" s="97">
        <f t="shared" si="3"/>
        <v>0.4127823333</v>
      </c>
      <c r="S74" s="98">
        <f t="shared" si="4"/>
        <v>17616.53</v>
      </c>
      <c r="T74" s="98"/>
      <c r="U74" s="1"/>
      <c r="V74" s="102">
        <f t="shared" si="12"/>
        <v>17616.53</v>
      </c>
      <c r="W74" s="102"/>
      <c r="X74" s="102"/>
    </row>
    <row r="75" ht="15.75" customHeight="1">
      <c r="A75" s="21"/>
      <c r="B75" s="54" t="s">
        <v>159</v>
      </c>
      <c r="C75" s="54" t="s">
        <v>126</v>
      </c>
      <c r="D75" s="55" t="s">
        <v>160</v>
      </c>
      <c r="E75" s="55"/>
      <c r="F75" s="56">
        <v>25000.0</v>
      </c>
      <c r="G75" s="62"/>
      <c r="H75" s="58">
        <f t="shared" si="1"/>
        <v>25000</v>
      </c>
      <c r="I75" s="58"/>
      <c r="J75" s="61">
        <v>19.98</v>
      </c>
      <c r="K75" s="58"/>
      <c r="L75" s="61"/>
      <c r="M75" s="58"/>
      <c r="N75" s="95"/>
      <c r="O75" s="96"/>
      <c r="P75" s="96"/>
      <c r="Q75" s="58">
        <f t="shared" si="2"/>
        <v>19.98</v>
      </c>
      <c r="R75" s="97">
        <f t="shared" si="3"/>
        <v>0.0007992</v>
      </c>
      <c r="S75" s="98">
        <f t="shared" si="4"/>
        <v>24980.02</v>
      </c>
      <c r="T75" s="98"/>
      <c r="U75" s="1"/>
      <c r="V75" s="109">
        <v>0.0</v>
      </c>
      <c r="W75" s="109"/>
      <c r="X75" s="104"/>
    </row>
    <row r="76" ht="15.75" customHeight="1">
      <c r="A76" s="21"/>
      <c r="B76" s="54" t="s">
        <v>161</v>
      </c>
      <c r="C76" s="54" t="s">
        <v>126</v>
      </c>
      <c r="D76" s="55" t="s">
        <v>162</v>
      </c>
      <c r="E76" s="55"/>
      <c r="F76" s="56">
        <v>240000.0</v>
      </c>
      <c r="G76" s="62"/>
      <c r="H76" s="58">
        <f t="shared" si="1"/>
        <v>240000</v>
      </c>
      <c r="I76" s="58">
        <v>25000.0</v>
      </c>
      <c r="J76" s="61">
        <v>20000.0</v>
      </c>
      <c r="K76" s="58">
        <f>36000+5500</f>
        <v>41500</v>
      </c>
      <c r="L76" s="61">
        <f>25000+4000</f>
        <v>29000</v>
      </c>
      <c r="M76" s="58">
        <f>3200+20175</f>
        <v>23375</v>
      </c>
      <c r="N76" s="108">
        <f>20175+2000</f>
        <v>22175</v>
      </c>
      <c r="O76" s="100">
        <v>22175.0</v>
      </c>
      <c r="P76" s="100">
        <v>60525.0</v>
      </c>
      <c r="Q76" s="58">
        <f t="shared" si="2"/>
        <v>243750</v>
      </c>
      <c r="R76" s="97">
        <f t="shared" si="3"/>
        <v>1.015625</v>
      </c>
      <c r="S76" s="98">
        <f t="shared" si="4"/>
        <v>-3750</v>
      </c>
      <c r="T76" s="98"/>
      <c r="U76" s="1"/>
      <c r="V76" s="102">
        <f>S76</f>
        <v>-3750</v>
      </c>
      <c r="W76" s="102"/>
      <c r="X76" s="102"/>
    </row>
    <row r="77" ht="15.75" customHeight="1">
      <c r="A77" s="21"/>
      <c r="B77" s="54" t="s">
        <v>163</v>
      </c>
      <c r="C77" s="54" t="s">
        <v>126</v>
      </c>
      <c r="D77" s="55" t="s">
        <v>164</v>
      </c>
      <c r="E77" s="55"/>
      <c r="F77" s="56">
        <v>6583.94</v>
      </c>
      <c r="G77" s="62"/>
      <c r="H77" s="58">
        <f t="shared" si="1"/>
        <v>6583.94</v>
      </c>
      <c r="I77" s="58"/>
      <c r="J77" s="61"/>
      <c r="K77" s="58"/>
      <c r="L77" s="61"/>
      <c r="M77" s="58"/>
      <c r="N77" s="95"/>
      <c r="O77" s="96"/>
      <c r="P77" s="96"/>
      <c r="Q77" s="58">
        <f t="shared" si="2"/>
        <v>0</v>
      </c>
      <c r="R77" s="97">
        <f t="shared" si="3"/>
        <v>0</v>
      </c>
      <c r="S77" s="98">
        <f t="shared" si="4"/>
        <v>6583.94</v>
      </c>
      <c r="T77" s="98"/>
      <c r="U77" s="1"/>
      <c r="V77" s="109">
        <v>606582.94</v>
      </c>
      <c r="W77" s="109"/>
      <c r="X77" s="101"/>
    </row>
    <row r="78" ht="15.75" customHeight="1">
      <c r="A78" s="21"/>
      <c r="B78" s="54" t="s">
        <v>165</v>
      </c>
      <c r="C78" s="54" t="s">
        <v>126</v>
      </c>
      <c r="D78" s="55" t="s">
        <v>166</v>
      </c>
      <c r="E78" s="55"/>
      <c r="F78" s="56">
        <v>483915.5</v>
      </c>
      <c r="G78" s="57">
        <v>276202.41</v>
      </c>
      <c r="H78" s="58">
        <f t="shared" si="1"/>
        <v>760117.91</v>
      </c>
      <c r="I78" s="58">
        <v>204487.0</v>
      </c>
      <c r="J78" s="61">
        <v>279428.5</v>
      </c>
      <c r="K78" s="58">
        <f>862.22+1014.52+98198.01+37611.1+49995+28373.32</f>
        <v>216054.17</v>
      </c>
      <c r="L78" s="61">
        <f>12925+6949.8+1982.83+128.41+1752.7</f>
        <v>23738.74</v>
      </c>
      <c r="M78" s="58">
        <v>18672.5</v>
      </c>
      <c r="N78" s="95"/>
      <c r="O78" s="100">
        <v>17737.0</v>
      </c>
      <c r="P78" s="100">
        <f>5550+175+175+2895+70878.05-5429.33</f>
        <v>74243.72</v>
      </c>
      <c r="Q78" s="58">
        <f t="shared" si="2"/>
        <v>834361.63</v>
      </c>
      <c r="R78" s="97">
        <f t="shared" si="3"/>
        <v>1.097673952</v>
      </c>
      <c r="S78" s="98">
        <f t="shared" si="4"/>
        <v>-74243.72</v>
      </c>
      <c r="T78" s="98"/>
      <c r="U78" s="49" t="s">
        <v>191</v>
      </c>
      <c r="V78" s="99">
        <v>200000.0</v>
      </c>
      <c r="W78" s="99"/>
      <c r="X78" s="107">
        <v>201701.0</v>
      </c>
      <c r="Y78" s="92" t="s">
        <v>192</v>
      </c>
    </row>
    <row r="79" ht="15.75" customHeight="1">
      <c r="A79" s="1"/>
      <c r="B79" s="1"/>
      <c r="C79" s="65"/>
      <c r="D79" s="66"/>
      <c r="E79" s="66"/>
      <c r="F79" s="67"/>
      <c r="G79" s="67"/>
      <c r="H79" s="67"/>
      <c r="I79" s="67"/>
      <c r="J79" s="67"/>
      <c r="K79" s="67"/>
      <c r="L79" s="67"/>
      <c r="M79" s="67"/>
      <c r="N79" s="110"/>
      <c r="O79" s="110"/>
      <c r="P79" s="110"/>
      <c r="Q79" s="67"/>
      <c r="R79" s="111"/>
      <c r="S79" s="67"/>
      <c r="T79" s="67"/>
      <c r="U79" s="1"/>
      <c r="V79" s="104"/>
      <c r="W79" s="104"/>
      <c r="X79" s="104"/>
    </row>
    <row r="80" ht="15.75" customHeight="1">
      <c r="A80" s="68"/>
      <c r="B80" s="68"/>
      <c r="C80" s="69"/>
      <c r="D80" s="70" t="s">
        <v>167</v>
      </c>
      <c r="E80" s="71"/>
      <c r="F80" s="72">
        <f t="shared" ref="F80:H80" si="13">SUM(F10:F79)</f>
        <v>10159856.14</v>
      </c>
      <c r="G80" s="72">
        <f t="shared" si="13"/>
        <v>0</v>
      </c>
      <c r="H80" s="72">
        <f t="shared" si="13"/>
        <v>10159856.14</v>
      </c>
      <c r="I80" s="72">
        <f t="shared" ref="I80:Q80" si="14">SUM(I10:I78)</f>
        <v>430727.04</v>
      </c>
      <c r="J80" s="72">
        <f t="shared" si="14"/>
        <v>620765.82</v>
      </c>
      <c r="K80" s="72">
        <f t="shared" si="14"/>
        <v>1448767.71</v>
      </c>
      <c r="L80" s="72">
        <f t="shared" si="14"/>
        <v>1069457.39</v>
      </c>
      <c r="M80" s="72">
        <f t="shared" si="14"/>
        <v>1367102.43</v>
      </c>
      <c r="N80" s="112">
        <f t="shared" si="14"/>
        <v>535818.07</v>
      </c>
      <c r="O80" s="112">
        <f t="shared" si="14"/>
        <v>1577307.34</v>
      </c>
      <c r="P80" s="112">
        <f t="shared" si="14"/>
        <v>1905850.91</v>
      </c>
      <c r="Q80" s="72">
        <f t="shared" si="14"/>
        <v>8955796.71</v>
      </c>
      <c r="R80" s="113">
        <f t="shared" ref="R80:R84" si="15">Q80/F80</f>
        <v>0.8814885355</v>
      </c>
      <c r="S80" s="72">
        <f t="shared" ref="S80:S84" si="16">F80-Q80</f>
        <v>1204059.43</v>
      </c>
      <c r="T80" s="72">
        <f>SUM(T10:T78)</f>
        <v>0</v>
      </c>
      <c r="U80" s="1"/>
      <c r="V80" s="102"/>
      <c r="W80" s="102"/>
      <c r="X80" s="102"/>
    </row>
    <row r="81" ht="15.75" customHeight="1">
      <c r="A81" s="1"/>
      <c r="B81" s="1"/>
      <c r="C81" s="54" t="s">
        <v>126</v>
      </c>
      <c r="D81" s="55" t="s">
        <v>193</v>
      </c>
      <c r="E81" s="55"/>
      <c r="F81" s="56">
        <v>494000.0</v>
      </c>
      <c r="G81" s="58"/>
      <c r="H81" s="58">
        <f t="shared" ref="H81:H83" si="17">F81+G81</f>
        <v>494000</v>
      </c>
      <c r="I81" s="58"/>
      <c r="J81" s="61">
        <v>163759.91</v>
      </c>
      <c r="K81" s="58"/>
      <c r="L81" s="61"/>
      <c r="M81" s="58"/>
      <c r="N81" s="61"/>
      <c r="O81" s="58"/>
      <c r="P81" s="58"/>
      <c r="Q81" s="58">
        <f t="shared" ref="Q81:Q83" si="18">SUM(I81:O81)</f>
        <v>163759.91</v>
      </c>
      <c r="R81" s="97">
        <f t="shared" si="15"/>
        <v>0.3314977935</v>
      </c>
      <c r="S81" s="98">
        <f t="shared" si="16"/>
        <v>330240.09</v>
      </c>
      <c r="T81" s="98"/>
      <c r="U81" s="1"/>
      <c r="V81" s="104"/>
      <c r="W81" s="104"/>
      <c r="X81" s="104"/>
    </row>
    <row r="82" ht="15.75" customHeight="1">
      <c r="A82" s="1"/>
      <c r="B82" s="1"/>
      <c r="C82" s="54" t="s">
        <v>126</v>
      </c>
      <c r="D82" s="55" t="s">
        <v>194</v>
      </c>
      <c r="E82" s="55"/>
      <c r="F82" s="56">
        <v>550497.32</v>
      </c>
      <c r="G82" s="58"/>
      <c r="H82" s="58">
        <f t="shared" si="17"/>
        <v>550497.32</v>
      </c>
      <c r="I82" s="58"/>
      <c r="J82" s="61"/>
      <c r="K82" s="58"/>
      <c r="L82" s="61"/>
      <c r="M82" s="58"/>
      <c r="N82" s="61"/>
      <c r="O82" s="58"/>
      <c r="P82" s="58"/>
      <c r="Q82" s="58">
        <f t="shared" si="18"/>
        <v>0</v>
      </c>
      <c r="R82" s="97">
        <f t="shared" si="15"/>
        <v>0</v>
      </c>
      <c r="S82" s="98">
        <f t="shared" si="16"/>
        <v>550497.32</v>
      </c>
      <c r="T82" s="98"/>
      <c r="U82" s="1"/>
      <c r="V82" s="102"/>
      <c r="W82" s="102"/>
      <c r="X82" s="102"/>
    </row>
    <row r="83" ht="15.75" customHeight="1">
      <c r="A83" s="1"/>
      <c r="B83" s="1"/>
      <c r="C83" s="54" t="s">
        <v>126</v>
      </c>
      <c r="D83" s="55" t="s">
        <v>195</v>
      </c>
      <c r="E83" s="55"/>
      <c r="F83" s="56">
        <v>3500.0</v>
      </c>
      <c r="G83" s="58"/>
      <c r="H83" s="58">
        <f t="shared" si="17"/>
        <v>3500</v>
      </c>
      <c r="I83" s="58"/>
      <c r="J83" s="61">
        <v>800.0</v>
      </c>
      <c r="K83" s="58"/>
      <c r="L83" s="61"/>
      <c r="M83" s="58"/>
      <c r="N83" s="61"/>
      <c r="O83" s="58"/>
      <c r="P83" s="58"/>
      <c r="Q83" s="58">
        <f t="shared" si="18"/>
        <v>800</v>
      </c>
      <c r="R83" s="97">
        <f t="shared" si="15"/>
        <v>0.2285714286</v>
      </c>
      <c r="S83" s="98">
        <f t="shared" si="16"/>
        <v>2700</v>
      </c>
      <c r="T83" s="98"/>
      <c r="U83" s="1"/>
      <c r="V83" s="104"/>
      <c r="W83" s="104"/>
      <c r="X83" s="104"/>
    </row>
    <row r="84" ht="15.75" customHeight="1">
      <c r="A84" s="1"/>
      <c r="B84" s="1"/>
      <c r="C84" s="69"/>
      <c r="D84" s="70" t="s">
        <v>167</v>
      </c>
      <c r="E84" s="71"/>
      <c r="F84" s="72">
        <f t="shared" ref="F84:O84" si="19">SUM(F80:F83)</f>
        <v>11207853.46</v>
      </c>
      <c r="G84" s="72">
        <f t="shared" si="19"/>
        <v>0</v>
      </c>
      <c r="H84" s="72">
        <f t="shared" si="19"/>
        <v>11207853.46</v>
      </c>
      <c r="I84" s="72">
        <f t="shared" si="19"/>
        <v>430727.04</v>
      </c>
      <c r="J84" s="72">
        <f t="shared" si="19"/>
        <v>785325.73</v>
      </c>
      <c r="K84" s="72">
        <f t="shared" si="19"/>
        <v>1448767.71</v>
      </c>
      <c r="L84" s="72">
        <f t="shared" si="19"/>
        <v>1069457.39</v>
      </c>
      <c r="M84" s="72">
        <f t="shared" si="19"/>
        <v>1367102.43</v>
      </c>
      <c r="N84" s="72">
        <f t="shared" si="19"/>
        <v>535818.07</v>
      </c>
      <c r="O84" s="72">
        <f t="shared" si="19"/>
        <v>1577307.34</v>
      </c>
      <c r="P84" s="72"/>
      <c r="Q84" s="72">
        <f>SUM(Q80:Q83)</f>
        <v>9120356.62</v>
      </c>
      <c r="R84" s="113">
        <f t="shared" si="15"/>
        <v>0.8137469545</v>
      </c>
      <c r="S84" s="72">
        <f t="shared" si="16"/>
        <v>2087496.84</v>
      </c>
      <c r="T84" s="72">
        <f>SUM(T80:T83)</f>
        <v>0</v>
      </c>
      <c r="U84" s="1"/>
      <c r="V84" s="102"/>
      <c r="W84" s="102"/>
      <c r="X84" s="102"/>
    </row>
    <row r="85" ht="15.75" customHeight="1">
      <c r="A85" s="1"/>
      <c r="B85" s="1"/>
      <c r="C85" s="2"/>
      <c r="D85" s="1"/>
      <c r="E85" s="1"/>
      <c r="F85" s="114"/>
      <c r="G85" s="114"/>
      <c r="H85" s="114"/>
      <c r="I85" s="1"/>
      <c r="J85" s="1"/>
      <c r="K85" s="1"/>
      <c r="L85" s="1"/>
      <c r="M85" s="1"/>
      <c r="N85" s="1"/>
      <c r="O85" s="1"/>
      <c r="P85" s="1"/>
      <c r="Q85" s="114">
        <f>Q80-SUM(I80:N80)</f>
        <v>3483158.25</v>
      </c>
      <c r="R85" s="74"/>
      <c r="S85" s="1"/>
      <c r="T85" s="1"/>
      <c r="U85" s="1"/>
      <c r="V85" s="104"/>
      <c r="W85" s="104"/>
      <c r="X85" s="104"/>
    </row>
    <row r="86" ht="15.75" customHeight="1">
      <c r="A86" s="1"/>
      <c r="B86" s="1"/>
      <c r="C86" s="2"/>
      <c r="D86" s="1"/>
      <c r="E86" s="1"/>
      <c r="F86" s="115" t="s">
        <v>196</v>
      </c>
      <c r="G86" s="115"/>
      <c r="H86" s="115"/>
      <c r="I86" s="116"/>
      <c r="J86" s="116"/>
      <c r="K86" s="116"/>
      <c r="L86" s="116"/>
      <c r="M86" s="116"/>
      <c r="N86" s="116"/>
      <c r="O86" s="116"/>
      <c r="P86" s="117"/>
      <c r="Q86" s="1"/>
      <c r="R86" s="74"/>
      <c r="S86" s="1"/>
      <c r="T86" s="1"/>
      <c r="U86" s="1"/>
      <c r="V86" s="102"/>
      <c r="W86" s="102"/>
      <c r="X86" s="102"/>
    </row>
    <row r="87" ht="15.75" customHeight="1">
      <c r="A87" s="1"/>
      <c r="B87" s="1"/>
      <c r="C87" s="2"/>
      <c r="D87" s="1"/>
      <c r="E87" s="1"/>
      <c r="F87" s="118" t="s">
        <v>197</v>
      </c>
      <c r="G87" s="118"/>
      <c r="H87" s="118"/>
      <c r="I87" s="119"/>
      <c r="J87" s="119"/>
      <c r="K87" s="119"/>
      <c r="L87" s="119"/>
      <c r="M87" s="119"/>
      <c r="N87" s="119"/>
      <c r="O87" s="119"/>
      <c r="P87" s="120"/>
      <c r="Q87" s="114">
        <f>S80-9991800.69</f>
        <v>-8787741.26</v>
      </c>
      <c r="R87" s="74"/>
      <c r="S87" s="1"/>
      <c r="T87" s="1"/>
      <c r="U87" s="1"/>
      <c r="V87" s="104"/>
      <c r="W87" s="104"/>
      <c r="X87" s="104"/>
    </row>
    <row r="88" ht="15.75" customHeight="1">
      <c r="A88" s="1"/>
      <c r="B88" s="1"/>
      <c r="C88" s="2"/>
      <c r="D88" s="1"/>
      <c r="E88" s="1"/>
      <c r="F88" s="114"/>
      <c r="G88" s="114"/>
      <c r="H88" s="114"/>
      <c r="I88" s="1"/>
      <c r="J88" s="1"/>
      <c r="K88" s="1"/>
      <c r="L88" s="1"/>
      <c r="M88" s="1"/>
      <c r="N88" s="1"/>
      <c r="O88" s="1"/>
      <c r="P88" s="1"/>
      <c r="Q88" s="1"/>
      <c r="R88" s="74"/>
      <c r="S88" s="1"/>
      <c r="T88" s="1"/>
      <c r="U88" s="1"/>
      <c r="V88" s="102"/>
      <c r="W88" s="102"/>
      <c r="X88" s="102"/>
    </row>
    <row r="89" ht="15.75" customHeight="1">
      <c r="A89" s="1"/>
      <c r="B89" s="1"/>
      <c r="C89" s="2"/>
      <c r="D89" s="1"/>
      <c r="E89" s="1"/>
      <c r="F89" s="73" t="s">
        <v>198</v>
      </c>
      <c r="G89" s="73"/>
      <c r="H89" s="73"/>
      <c r="I89" s="121"/>
      <c r="J89" s="121"/>
      <c r="K89" s="121"/>
      <c r="L89" s="121"/>
      <c r="M89" s="121"/>
      <c r="N89" s="121"/>
      <c r="O89" s="121"/>
      <c r="P89" s="121"/>
      <c r="Q89" s="1"/>
      <c r="R89" s="74"/>
      <c r="S89" s="1"/>
      <c r="T89" s="1"/>
      <c r="U89" s="49" t="s">
        <v>199</v>
      </c>
      <c r="V89" s="104">
        <f>SUM(V10:V88)</f>
        <v>2340391.36</v>
      </c>
      <c r="W89" s="104"/>
      <c r="X89" s="104">
        <f>SUM(X10:X88)</f>
        <v>542236.26</v>
      </c>
    </row>
    <row r="90" ht="15.75" customHeight="1">
      <c r="A90" s="1"/>
      <c r="B90" s="1"/>
      <c r="C90" s="2"/>
      <c r="D90" s="1"/>
      <c r="E90" s="1"/>
      <c r="F90" s="73" t="s">
        <v>200</v>
      </c>
      <c r="G90" s="73"/>
      <c r="H90" s="73"/>
      <c r="I90" s="121"/>
      <c r="J90" s="121"/>
      <c r="K90" s="121"/>
      <c r="L90" s="121"/>
      <c r="M90" s="121"/>
      <c r="N90" s="121"/>
      <c r="O90" s="121"/>
      <c r="P90" s="121"/>
      <c r="Q90" s="1"/>
      <c r="R90" s="74"/>
      <c r="S90" s="1"/>
      <c r="T90" s="1"/>
      <c r="U90" s="1"/>
      <c r="V90" s="102"/>
      <c r="W90" s="102"/>
      <c r="X90" s="102"/>
    </row>
    <row r="91" ht="15.75" customHeight="1">
      <c r="A91" s="1"/>
      <c r="B91" s="1"/>
      <c r="C91" s="2"/>
      <c r="D91" s="1"/>
      <c r="E91" s="1"/>
      <c r="F91" s="73" t="s">
        <v>201</v>
      </c>
      <c r="G91" s="73"/>
      <c r="H91" s="73"/>
      <c r="I91" s="121"/>
      <c r="J91" s="121"/>
      <c r="K91" s="121"/>
      <c r="L91" s="121"/>
      <c r="M91" s="121"/>
      <c r="N91" s="121"/>
      <c r="O91" s="121"/>
      <c r="P91" s="121"/>
      <c r="Q91" s="1"/>
      <c r="R91" s="74"/>
      <c r="S91" s="1"/>
      <c r="T91" s="1"/>
      <c r="U91" s="49" t="s">
        <v>202</v>
      </c>
      <c r="V91" s="102">
        <f>SUM(V89:X89)</f>
        <v>2882627.62</v>
      </c>
      <c r="W91" s="102"/>
      <c r="X91" s="102"/>
    </row>
    <row r="92" ht="15.75" customHeight="1">
      <c r="A92" s="1"/>
      <c r="B92" s="1"/>
      <c r="C92" s="2"/>
      <c r="D92" s="1"/>
      <c r="E92" s="1"/>
      <c r="F92" s="73" t="s">
        <v>203</v>
      </c>
      <c r="G92" s="73"/>
      <c r="H92" s="73"/>
      <c r="I92" s="121"/>
      <c r="J92" s="121"/>
      <c r="K92" s="121"/>
      <c r="L92" s="121"/>
      <c r="M92" s="121"/>
      <c r="N92" s="121"/>
      <c r="O92" s="121"/>
      <c r="P92" s="121"/>
      <c r="Q92" s="1"/>
      <c r="R92" s="74"/>
      <c r="S92" s="1"/>
      <c r="T92" s="1"/>
      <c r="U92" s="1"/>
      <c r="V92" s="102"/>
      <c r="W92" s="102"/>
      <c r="X92" s="102"/>
    </row>
    <row r="93" ht="15.75" customHeight="1">
      <c r="A93" s="1"/>
      <c r="B93" s="1"/>
      <c r="C93" s="2"/>
      <c r="D93" s="1"/>
      <c r="E93" s="1"/>
      <c r="F93" s="73" t="s">
        <v>168</v>
      </c>
      <c r="G93" s="73"/>
      <c r="H93" s="73"/>
      <c r="I93" s="114"/>
      <c r="J93" s="114"/>
      <c r="K93" s="114"/>
      <c r="L93" s="114"/>
      <c r="M93" s="114"/>
      <c r="N93" s="114"/>
      <c r="O93" s="114"/>
      <c r="P93" s="114"/>
      <c r="Q93" s="1"/>
      <c r="R93" s="74"/>
      <c r="S93" s="1"/>
      <c r="T93" s="1"/>
      <c r="U93" s="1"/>
      <c r="V93" s="102"/>
      <c r="W93" s="102"/>
      <c r="X93" s="102"/>
    </row>
    <row r="94" ht="15.75" customHeight="1">
      <c r="A94" s="1"/>
      <c r="B94" s="1"/>
      <c r="C94" s="2"/>
      <c r="D94" s="1"/>
      <c r="E94" s="1"/>
      <c r="F94" s="73" t="s">
        <v>204</v>
      </c>
      <c r="G94" s="73"/>
      <c r="H94" s="73"/>
      <c r="I94" s="121"/>
      <c r="J94" s="121"/>
      <c r="K94" s="121"/>
      <c r="L94" s="121"/>
      <c r="M94" s="121"/>
      <c r="N94" s="121"/>
      <c r="O94" s="121"/>
      <c r="P94" s="121"/>
      <c r="Q94" s="1"/>
      <c r="R94" s="74"/>
      <c r="S94" s="1"/>
      <c r="T94" s="1"/>
      <c r="U94" s="1"/>
      <c r="V94" s="102"/>
      <c r="W94" s="102"/>
      <c r="X94" s="102"/>
    </row>
    <row r="95" ht="15.75" customHeight="1">
      <c r="A95" s="1"/>
      <c r="B95" s="1"/>
      <c r="C95" s="2"/>
      <c r="D95" s="1"/>
      <c r="E95" s="1"/>
      <c r="F95" s="73" t="s">
        <v>205</v>
      </c>
      <c r="G95" s="73"/>
      <c r="H95" s="73"/>
      <c r="I95" s="121"/>
      <c r="J95" s="121"/>
      <c r="K95" s="121"/>
      <c r="L95" s="121"/>
      <c r="M95" s="121"/>
      <c r="N95" s="121"/>
      <c r="O95" s="121"/>
      <c r="P95" s="121"/>
      <c r="Q95" s="1"/>
      <c r="R95" s="74"/>
      <c r="S95" s="1"/>
      <c r="T95" s="1"/>
      <c r="U95" s="1"/>
      <c r="V95" s="102"/>
      <c r="W95" s="102"/>
      <c r="X95" s="102"/>
    </row>
    <row r="96" ht="15.75" customHeight="1">
      <c r="A96" s="1"/>
      <c r="B96" s="1"/>
      <c r="C96" s="2"/>
      <c r="D96" s="1"/>
      <c r="E96" s="1"/>
      <c r="F96" s="73" t="s">
        <v>206</v>
      </c>
      <c r="G96" s="73"/>
      <c r="H96" s="73"/>
      <c r="I96" s="121"/>
      <c r="J96" s="121"/>
      <c r="K96" s="121"/>
      <c r="L96" s="121"/>
      <c r="M96" s="121"/>
      <c r="N96" s="121"/>
      <c r="O96" s="121"/>
      <c r="P96" s="121"/>
      <c r="Q96" s="1"/>
      <c r="R96" s="74"/>
      <c r="S96" s="1"/>
      <c r="T96" s="1"/>
      <c r="U96" s="1"/>
      <c r="V96" s="1"/>
      <c r="W96" s="1"/>
      <c r="X96" s="1"/>
    </row>
    <row r="97" ht="15.75" customHeight="1">
      <c r="A97" s="1"/>
      <c r="B97" s="1"/>
      <c r="C97" s="2"/>
      <c r="D97" s="1"/>
      <c r="E97" s="1"/>
      <c r="F97" s="73" t="s">
        <v>207</v>
      </c>
      <c r="G97" s="73"/>
      <c r="H97" s="73"/>
      <c r="I97" s="121"/>
      <c r="J97" s="121"/>
      <c r="K97" s="121"/>
      <c r="L97" s="121"/>
      <c r="M97" s="121"/>
      <c r="N97" s="121"/>
      <c r="O97" s="121"/>
      <c r="P97" s="121"/>
      <c r="Q97" s="1"/>
      <c r="R97" s="74"/>
      <c r="S97" s="1"/>
      <c r="T97" s="1"/>
      <c r="U97" s="1"/>
      <c r="V97" s="1"/>
      <c r="W97" s="1"/>
      <c r="X97" s="1"/>
    </row>
    <row r="98" ht="15.75" customHeight="1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74"/>
      <c r="S98" s="1"/>
      <c r="T98" s="1"/>
      <c r="U98" s="1"/>
      <c r="V98" s="1"/>
      <c r="W98" s="1"/>
      <c r="X98" s="1"/>
    </row>
    <row r="99" ht="15.75" customHeight="1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74"/>
      <c r="S99" s="1"/>
      <c r="T99" s="1"/>
      <c r="U99" s="1"/>
      <c r="V99" s="1"/>
      <c r="W99" s="1"/>
      <c r="X99" s="1"/>
    </row>
    <row r="100" ht="15.75" customHeight="1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74"/>
      <c r="S100" s="1"/>
      <c r="T100" s="1"/>
      <c r="U100" s="1"/>
      <c r="V100" s="1"/>
      <c r="W100" s="1"/>
      <c r="X100" s="1"/>
    </row>
    <row r="101" ht="15.75" customHeight="1">
      <c r="A101" s="1"/>
      <c r="B101" s="1"/>
      <c r="C101" s="2"/>
      <c r="D101" s="1"/>
      <c r="E101" s="1"/>
      <c r="F101" s="73"/>
      <c r="G101" s="73"/>
      <c r="H101" s="73"/>
      <c r="I101" s="1"/>
      <c r="J101" s="1"/>
      <c r="K101" s="1"/>
      <c r="L101" s="1"/>
      <c r="M101" s="1"/>
      <c r="N101" s="1"/>
      <c r="O101" s="1"/>
      <c r="P101" s="1"/>
      <c r="Q101" s="1"/>
      <c r="R101" s="74"/>
      <c r="S101" s="1"/>
      <c r="T101" s="1"/>
      <c r="U101" s="1"/>
      <c r="V101" s="1"/>
      <c r="W101" s="1"/>
      <c r="X101" s="1"/>
    </row>
    <row r="102" ht="15.75" customHeight="1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74"/>
      <c r="S102" s="1"/>
      <c r="T102" s="1"/>
      <c r="U102" s="1"/>
      <c r="V102" s="1"/>
      <c r="W102" s="1"/>
      <c r="X102" s="1"/>
    </row>
    <row r="103" ht="15.75" customHeight="1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74"/>
      <c r="S103" s="1"/>
      <c r="T103" s="1"/>
      <c r="U103" s="1"/>
      <c r="V103" s="1"/>
      <c r="W103" s="1"/>
      <c r="X103" s="1"/>
    </row>
    <row r="104" ht="15.75" customHeight="1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74"/>
      <c r="S104" s="1"/>
      <c r="T104" s="1"/>
      <c r="U104" s="1"/>
      <c r="V104" s="1"/>
      <c r="W104" s="1"/>
      <c r="X104" s="1"/>
    </row>
    <row r="105" ht="15.75" customHeight="1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74"/>
      <c r="S105" s="1"/>
      <c r="T105" s="1"/>
      <c r="U105" s="1"/>
      <c r="V105" s="1"/>
      <c r="W105" s="1"/>
      <c r="X105" s="1"/>
    </row>
    <row r="106" ht="15.75" customHeight="1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74"/>
      <c r="S106" s="1"/>
      <c r="T106" s="1"/>
      <c r="U106" s="1"/>
      <c r="V106" s="1"/>
      <c r="W106" s="1"/>
      <c r="X106" s="1"/>
    </row>
    <row r="107" ht="15.75" customHeight="1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74"/>
      <c r="S107" s="1"/>
      <c r="T107" s="1"/>
      <c r="U107" s="1"/>
      <c r="V107" s="1"/>
      <c r="W107" s="1"/>
      <c r="X107" s="1"/>
    </row>
    <row r="108" ht="15.75" customHeight="1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74"/>
      <c r="S108" s="1"/>
      <c r="T108" s="1"/>
      <c r="U108" s="1"/>
      <c r="V108" s="1"/>
      <c r="W108" s="1"/>
      <c r="X108" s="1"/>
    </row>
    <row r="109" ht="15.75" customHeight="1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74"/>
      <c r="S109" s="1"/>
      <c r="T109" s="1"/>
      <c r="U109" s="1"/>
      <c r="V109" s="1"/>
      <c r="W109" s="1"/>
      <c r="X109" s="1"/>
    </row>
    <row r="110" ht="15.75" customHeight="1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74"/>
      <c r="S110" s="1"/>
      <c r="T110" s="1"/>
      <c r="U110" s="1"/>
      <c r="V110" s="1"/>
      <c r="W110" s="1"/>
      <c r="X110" s="1"/>
    </row>
    <row r="111" ht="15.75" customHeight="1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74"/>
      <c r="S111" s="1"/>
      <c r="T111" s="1"/>
      <c r="U111" s="1"/>
      <c r="V111" s="1"/>
      <c r="W111" s="1"/>
      <c r="X111" s="1"/>
    </row>
    <row r="112" ht="15.75" customHeight="1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74"/>
      <c r="S112" s="1"/>
      <c r="T112" s="1"/>
      <c r="U112" s="1"/>
      <c r="V112" s="1"/>
      <c r="W112" s="1"/>
      <c r="X112" s="1"/>
    </row>
    <row r="113" ht="15.75" customHeight="1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74"/>
      <c r="S113" s="1"/>
      <c r="T113" s="1"/>
      <c r="U113" s="1"/>
      <c r="V113" s="1"/>
      <c r="W113" s="1"/>
      <c r="X113" s="1"/>
    </row>
    <row r="114" ht="15.75" customHeight="1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74"/>
      <c r="S114" s="1"/>
      <c r="T114" s="1"/>
      <c r="U114" s="1"/>
      <c r="V114" s="1"/>
      <c r="W114" s="1"/>
      <c r="X114" s="1"/>
    </row>
    <row r="115" ht="15.75" customHeight="1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74"/>
      <c r="S115" s="1"/>
      <c r="T115" s="1"/>
      <c r="U115" s="1"/>
      <c r="V115" s="1"/>
      <c r="W115" s="1"/>
      <c r="X115" s="1"/>
    </row>
    <row r="116" ht="15.75" customHeight="1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74"/>
      <c r="S116" s="1"/>
      <c r="T116" s="1"/>
      <c r="U116" s="1"/>
      <c r="V116" s="1"/>
      <c r="W116" s="1"/>
      <c r="X116" s="1"/>
    </row>
    <row r="117" ht="15.75" customHeight="1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74"/>
      <c r="S117" s="1"/>
      <c r="T117" s="1"/>
      <c r="U117" s="1"/>
      <c r="V117" s="1"/>
      <c r="W117" s="1"/>
      <c r="X117" s="1"/>
    </row>
    <row r="118" ht="15.75" customHeight="1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74"/>
      <c r="S118" s="1"/>
      <c r="T118" s="1"/>
      <c r="U118" s="1"/>
      <c r="V118" s="1"/>
      <c r="W118" s="1"/>
      <c r="X118" s="1"/>
    </row>
    <row r="119" ht="15.75" customHeight="1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74"/>
      <c r="S119" s="1"/>
      <c r="T119" s="1"/>
      <c r="U119" s="1"/>
      <c r="V119" s="1"/>
      <c r="W119" s="1"/>
      <c r="X119" s="1"/>
    </row>
    <row r="120" ht="15.75" customHeight="1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74"/>
      <c r="S120" s="1"/>
      <c r="T120" s="1"/>
      <c r="U120" s="1"/>
      <c r="V120" s="1"/>
      <c r="W120" s="1"/>
      <c r="X120" s="1"/>
    </row>
    <row r="121" ht="15.75" customHeight="1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74"/>
      <c r="S121" s="1"/>
      <c r="T121" s="1"/>
      <c r="U121" s="1"/>
      <c r="V121" s="1"/>
      <c r="W121" s="1"/>
      <c r="X121" s="1"/>
    </row>
    <row r="122" ht="15.75" customHeight="1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74"/>
      <c r="S122" s="1"/>
      <c r="T122" s="1"/>
      <c r="U122" s="1"/>
      <c r="V122" s="1"/>
      <c r="W122" s="1"/>
      <c r="X122" s="1"/>
    </row>
    <row r="123" ht="15.75" customHeight="1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74"/>
      <c r="S123" s="1"/>
      <c r="T123" s="1"/>
      <c r="U123" s="1"/>
      <c r="V123" s="1"/>
      <c r="W123" s="1"/>
      <c r="X123" s="1"/>
    </row>
    <row r="124" ht="15.75" customHeight="1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74"/>
      <c r="S124" s="1"/>
      <c r="T124" s="1"/>
      <c r="U124" s="1"/>
      <c r="V124" s="1"/>
      <c r="W124" s="1"/>
      <c r="X124" s="1"/>
    </row>
    <row r="125" ht="15.75" customHeight="1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74"/>
      <c r="S125" s="1"/>
      <c r="T125" s="1"/>
      <c r="U125" s="1"/>
      <c r="V125" s="1"/>
      <c r="W125" s="1"/>
      <c r="X125" s="1"/>
    </row>
    <row r="126" ht="15.75" customHeight="1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74"/>
      <c r="S126" s="1"/>
      <c r="T126" s="1"/>
      <c r="U126" s="1"/>
      <c r="V126" s="1"/>
      <c r="W126" s="1"/>
      <c r="X126" s="1"/>
    </row>
    <row r="127" ht="15.75" customHeight="1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74"/>
      <c r="S127" s="1"/>
      <c r="T127" s="1"/>
      <c r="U127" s="1"/>
      <c r="V127" s="1"/>
      <c r="W127" s="1"/>
      <c r="X127" s="1"/>
    </row>
    <row r="128" ht="15.75" customHeight="1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74"/>
      <c r="S128" s="1"/>
      <c r="T128" s="1"/>
      <c r="U128" s="1"/>
      <c r="V128" s="1"/>
      <c r="W128" s="1"/>
      <c r="X128" s="1"/>
    </row>
    <row r="129" ht="15.75" customHeight="1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74"/>
      <c r="S129" s="1"/>
      <c r="T129" s="1"/>
      <c r="U129" s="1"/>
      <c r="V129" s="1"/>
      <c r="W129" s="1"/>
      <c r="X129" s="1"/>
    </row>
    <row r="130" ht="15.75" customHeight="1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74"/>
      <c r="S130" s="1"/>
      <c r="T130" s="1"/>
      <c r="U130" s="1"/>
      <c r="V130" s="1"/>
      <c r="W130" s="1"/>
      <c r="X130" s="1"/>
    </row>
    <row r="131" ht="15.75" customHeight="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74"/>
      <c r="S131" s="1"/>
      <c r="T131" s="1"/>
      <c r="U131" s="1"/>
      <c r="V131" s="1"/>
      <c r="W131" s="1"/>
      <c r="X131" s="1"/>
    </row>
    <row r="132" ht="15.75" customHeight="1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74"/>
      <c r="S132" s="1"/>
      <c r="T132" s="1"/>
      <c r="U132" s="1"/>
      <c r="V132" s="1"/>
      <c r="W132" s="1"/>
      <c r="X132" s="1"/>
    </row>
    <row r="133" ht="15.75" customHeight="1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74"/>
      <c r="S133" s="1"/>
      <c r="T133" s="1"/>
      <c r="U133" s="1"/>
      <c r="V133" s="1"/>
      <c r="W133" s="1"/>
      <c r="X133" s="1"/>
    </row>
    <row r="134" ht="15.75" customHeight="1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74"/>
      <c r="S134" s="1"/>
      <c r="T134" s="1"/>
      <c r="U134" s="1"/>
      <c r="V134" s="1"/>
      <c r="W134" s="1"/>
      <c r="X134" s="1"/>
    </row>
    <row r="135" ht="15.75" customHeight="1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74"/>
      <c r="S135" s="1"/>
      <c r="T135" s="1"/>
      <c r="U135" s="1"/>
      <c r="V135" s="1"/>
      <c r="W135" s="1"/>
      <c r="X135" s="1"/>
    </row>
    <row r="136" ht="15.75" customHeight="1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74"/>
      <c r="S136" s="1"/>
      <c r="T136" s="1"/>
      <c r="U136" s="1"/>
      <c r="V136" s="1"/>
      <c r="W136" s="1"/>
      <c r="X136" s="1"/>
    </row>
    <row r="137" ht="15.75" customHeight="1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74"/>
      <c r="S137" s="1"/>
      <c r="T137" s="1"/>
      <c r="U137" s="1"/>
      <c r="V137" s="1"/>
      <c r="W137" s="1"/>
      <c r="X137" s="1"/>
    </row>
    <row r="138" ht="15.75" customHeight="1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74"/>
      <c r="S138" s="1"/>
      <c r="T138" s="1"/>
      <c r="U138" s="1"/>
      <c r="V138" s="1"/>
      <c r="W138" s="1"/>
      <c r="X138" s="1"/>
    </row>
    <row r="139" ht="15.75" customHeight="1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74"/>
      <c r="S139" s="1"/>
      <c r="T139" s="1"/>
      <c r="U139" s="1"/>
      <c r="V139" s="1"/>
      <c r="W139" s="1"/>
      <c r="X139" s="1"/>
    </row>
    <row r="140" ht="15.75" customHeight="1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74"/>
      <c r="S140" s="1"/>
      <c r="T140" s="1"/>
      <c r="U140" s="1"/>
      <c r="V140" s="1"/>
      <c r="W140" s="1"/>
      <c r="X140" s="1"/>
    </row>
    <row r="141" ht="15.75" customHeight="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74"/>
      <c r="S141" s="1"/>
      <c r="T141" s="1"/>
      <c r="U141" s="1"/>
      <c r="V141" s="1"/>
      <c r="W141" s="1"/>
      <c r="X141" s="1"/>
    </row>
    <row r="142" ht="15.75" customHeight="1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74"/>
      <c r="S142" s="1"/>
      <c r="T142" s="1"/>
      <c r="U142" s="1"/>
      <c r="V142" s="1"/>
      <c r="W142" s="1"/>
      <c r="X142" s="1"/>
    </row>
    <row r="143" ht="15.75" customHeight="1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74"/>
      <c r="S143" s="1"/>
      <c r="T143" s="1"/>
      <c r="U143" s="1"/>
      <c r="V143" s="1"/>
      <c r="W143" s="1"/>
      <c r="X143" s="1"/>
    </row>
    <row r="144" ht="15.75" customHeight="1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74"/>
      <c r="S144" s="1"/>
      <c r="T144" s="1"/>
      <c r="U144" s="1"/>
      <c r="V144" s="1"/>
      <c r="W144" s="1"/>
      <c r="X144" s="1"/>
    </row>
    <row r="145" ht="15.75" customHeight="1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74"/>
      <c r="S145" s="1"/>
      <c r="T145" s="1"/>
      <c r="U145" s="1"/>
      <c r="V145" s="1"/>
      <c r="W145" s="1"/>
      <c r="X145" s="1"/>
    </row>
    <row r="146" ht="15.75" customHeight="1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74"/>
      <c r="S146" s="1"/>
      <c r="T146" s="1"/>
      <c r="U146" s="1"/>
      <c r="V146" s="1"/>
      <c r="W146" s="1"/>
      <c r="X146" s="1"/>
    </row>
    <row r="147" ht="15.75" customHeight="1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74"/>
      <c r="S147" s="1"/>
      <c r="T147" s="1"/>
      <c r="U147" s="1"/>
      <c r="V147" s="1"/>
      <c r="W147" s="1"/>
      <c r="X147" s="1"/>
    </row>
    <row r="148" ht="15.75" customHeight="1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74"/>
      <c r="S148" s="1"/>
      <c r="T148" s="1"/>
      <c r="U148" s="1"/>
      <c r="V148" s="1"/>
      <c r="W148" s="1"/>
      <c r="X148" s="1"/>
    </row>
    <row r="149" ht="15.75" customHeight="1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74"/>
      <c r="S149" s="1"/>
      <c r="T149" s="1"/>
      <c r="U149" s="1"/>
      <c r="V149" s="1"/>
      <c r="W149" s="1"/>
      <c r="X149" s="1"/>
    </row>
    <row r="150" ht="15.75" customHeight="1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74"/>
      <c r="S150" s="1"/>
      <c r="T150" s="1"/>
      <c r="U150" s="1"/>
      <c r="V150" s="1"/>
      <c r="W150" s="1"/>
      <c r="X150" s="1"/>
    </row>
    <row r="151" ht="15.75" customHeight="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74"/>
      <c r="S151" s="1"/>
      <c r="T151" s="1"/>
      <c r="U151" s="1"/>
      <c r="V151" s="1"/>
      <c r="W151" s="1"/>
      <c r="X151" s="1"/>
    </row>
    <row r="152" ht="15.75" customHeight="1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74"/>
      <c r="S152" s="1"/>
      <c r="T152" s="1"/>
      <c r="U152" s="1"/>
      <c r="V152" s="1"/>
      <c r="W152" s="1"/>
      <c r="X152" s="1"/>
    </row>
    <row r="153" ht="15.75" customHeight="1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74"/>
      <c r="S153" s="1"/>
      <c r="T153" s="1"/>
      <c r="U153" s="1"/>
      <c r="V153" s="1"/>
      <c r="W153" s="1"/>
      <c r="X153" s="1"/>
    </row>
    <row r="154" ht="15.75" customHeight="1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74"/>
      <c r="S154" s="1"/>
      <c r="T154" s="1"/>
      <c r="U154" s="1"/>
      <c r="V154" s="1"/>
      <c r="W154" s="1"/>
      <c r="X154" s="1"/>
    </row>
    <row r="155" ht="15.75" customHeight="1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74"/>
      <c r="S155" s="1"/>
      <c r="T155" s="1"/>
      <c r="U155" s="1"/>
      <c r="V155" s="1"/>
      <c r="W155" s="1"/>
      <c r="X155" s="1"/>
    </row>
    <row r="156" ht="15.75" customHeight="1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74"/>
      <c r="S156" s="1"/>
      <c r="T156" s="1"/>
      <c r="U156" s="1"/>
      <c r="V156" s="1"/>
      <c r="W156" s="1"/>
      <c r="X156" s="1"/>
    </row>
    <row r="157" ht="15.75" customHeight="1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74"/>
      <c r="S157" s="1"/>
      <c r="T157" s="1"/>
      <c r="U157" s="1"/>
      <c r="V157" s="1"/>
      <c r="W157" s="1"/>
      <c r="X157" s="1"/>
    </row>
    <row r="158" ht="15.75" customHeight="1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74"/>
      <c r="S158" s="1"/>
      <c r="T158" s="1"/>
      <c r="U158" s="1"/>
      <c r="V158" s="1"/>
      <c r="W158" s="1"/>
      <c r="X158" s="1"/>
    </row>
    <row r="159" ht="15.75" customHeight="1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74"/>
      <c r="S159" s="1"/>
      <c r="T159" s="1"/>
      <c r="U159" s="1"/>
      <c r="V159" s="1"/>
      <c r="W159" s="1"/>
      <c r="X159" s="1"/>
    </row>
    <row r="160" ht="15.75" customHeight="1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74"/>
      <c r="S160" s="1"/>
      <c r="T160" s="1"/>
      <c r="U160" s="1"/>
      <c r="V160" s="1"/>
      <c r="W160" s="1"/>
      <c r="X160" s="1"/>
    </row>
    <row r="161" ht="15.75" customHeight="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74"/>
      <c r="S161" s="1"/>
      <c r="T161" s="1"/>
      <c r="U161" s="1"/>
      <c r="V161" s="1"/>
      <c r="W161" s="1"/>
      <c r="X161" s="1"/>
    </row>
    <row r="162" ht="15.75" customHeight="1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74"/>
      <c r="S162" s="1"/>
      <c r="T162" s="1"/>
      <c r="U162" s="1"/>
      <c r="V162" s="1"/>
      <c r="W162" s="1"/>
      <c r="X162" s="1"/>
    </row>
    <row r="163" ht="15.75" customHeight="1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74"/>
      <c r="S163" s="1"/>
      <c r="T163" s="1"/>
      <c r="U163" s="1"/>
      <c r="V163" s="1"/>
      <c r="W163" s="1"/>
      <c r="X163" s="1"/>
    </row>
    <row r="164" ht="15.75" customHeight="1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74"/>
      <c r="S164" s="1"/>
      <c r="T164" s="1"/>
      <c r="U164" s="1"/>
      <c r="V164" s="1"/>
      <c r="W164" s="1"/>
      <c r="X164" s="1"/>
    </row>
    <row r="165" ht="15.75" customHeight="1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74"/>
      <c r="S165" s="1"/>
      <c r="T165" s="1"/>
      <c r="U165" s="1"/>
      <c r="V165" s="1"/>
      <c r="W165" s="1"/>
      <c r="X165" s="1"/>
    </row>
    <row r="166" ht="15.75" customHeight="1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74"/>
      <c r="S166" s="1"/>
      <c r="T166" s="1"/>
      <c r="U166" s="1"/>
      <c r="V166" s="1"/>
      <c r="W166" s="1"/>
      <c r="X166" s="1"/>
    </row>
    <row r="167" ht="15.75" customHeight="1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74"/>
      <c r="S167" s="1"/>
      <c r="T167" s="1"/>
      <c r="U167" s="1"/>
      <c r="V167" s="1"/>
      <c r="W167" s="1"/>
      <c r="X167" s="1"/>
    </row>
    <row r="168" ht="15.75" customHeight="1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74"/>
      <c r="S168" s="1"/>
      <c r="T168" s="1"/>
      <c r="U168" s="1"/>
      <c r="V168" s="1"/>
      <c r="W168" s="1"/>
      <c r="X168" s="1"/>
    </row>
    <row r="169" ht="15.75" customHeight="1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74"/>
      <c r="S169" s="1"/>
      <c r="T169" s="1"/>
      <c r="U169" s="1"/>
      <c r="V169" s="1"/>
      <c r="W169" s="1"/>
      <c r="X169" s="1"/>
    </row>
    <row r="170" ht="15.75" customHeight="1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74"/>
      <c r="S170" s="1"/>
      <c r="T170" s="1"/>
      <c r="U170" s="1"/>
      <c r="V170" s="1"/>
      <c r="W170" s="1"/>
      <c r="X170" s="1"/>
    </row>
    <row r="171" ht="15.75" customHeight="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74"/>
      <c r="S171" s="1"/>
      <c r="T171" s="1"/>
      <c r="U171" s="1"/>
      <c r="V171" s="1"/>
      <c r="W171" s="1"/>
      <c r="X171" s="1"/>
    </row>
    <row r="172" ht="15.75" customHeight="1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74"/>
      <c r="S172" s="1"/>
      <c r="T172" s="1"/>
      <c r="U172" s="1"/>
      <c r="V172" s="1"/>
      <c r="W172" s="1"/>
      <c r="X172" s="1"/>
    </row>
    <row r="173" ht="15.75" customHeight="1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74"/>
      <c r="S173" s="1"/>
      <c r="T173" s="1"/>
      <c r="U173" s="1"/>
      <c r="V173" s="1"/>
      <c r="W173" s="1"/>
      <c r="X173" s="1"/>
    </row>
    <row r="174" ht="15.75" customHeight="1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74"/>
      <c r="S174" s="1"/>
      <c r="T174" s="1"/>
      <c r="U174" s="1"/>
      <c r="V174" s="1"/>
      <c r="W174" s="1"/>
      <c r="X174" s="1"/>
    </row>
    <row r="175" ht="15.75" customHeight="1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74"/>
      <c r="S175" s="1"/>
      <c r="T175" s="1"/>
      <c r="U175" s="1"/>
      <c r="V175" s="1"/>
      <c r="W175" s="1"/>
      <c r="X175" s="1"/>
    </row>
    <row r="176" ht="15.75" customHeight="1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74"/>
      <c r="S176" s="1"/>
      <c r="T176" s="1"/>
      <c r="U176" s="1"/>
      <c r="V176" s="1"/>
      <c r="W176" s="1"/>
      <c r="X176" s="1"/>
    </row>
    <row r="177" ht="15.75" customHeight="1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74"/>
      <c r="S177" s="1"/>
      <c r="T177" s="1"/>
      <c r="U177" s="1"/>
      <c r="V177" s="1"/>
      <c r="W177" s="1"/>
      <c r="X177" s="1"/>
    </row>
    <row r="178" ht="15.75" customHeight="1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74"/>
      <c r="S178" s="1"/>
      <c r="T178" s="1"/>
      <c r="U178" s="1"/>
      <c r="V178" s="1"/>
      <c r="W178" s="1"/>
      <c r="X178" s="1"/>
    </row>
    <row r="179" ht="15.75" customHeight="1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74"/>
      <c r="S179" s="1"/>
      <c r="T179" s="1"/>
      <c r="U179" s="1"/>
      <c r="V179" s="1"/>
      <c r="W179" s="1"/>
      <c r="X179" s="1"/>
    </row>
    <row r="180" ht="15.75" customHeight="1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74"/>
      <c r="S180" s="1"/>
      <c r="T180" s="1"/>
      <c r="U180" s="1"/>
      <c r="V180" s="1"/>
      <c r="W180" s="1"/>
      <c r="X180" s="1"/>
    </row>
    <row r="181" ht="15.75" customHeight="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74"/>
      <c r="S181" s="1"/>
      <c r="T181" s="1"/>
      <c r="U181" s="1"/>
      <c r="V181" s="1"/>
      <c r="W181" s="1"/>
      <c r="X181" s="1"/>
    </row>
    <row r="182" ht="15.75" customHeight="1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74"/>
      <c r="S182" s="1"/>
      <c r="T182" s="1"/>
      <c r="U182" s="1"/>
      <c r="V182" s="1"/>
      <c r="W182" s="1"/>
      <c r="X182" s="1"/>
    </row>
    <row r="183" ht="15.75" customHeight="1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74"/>
      <c r="S183" s="1"/>
      <c r="T183" s="1"/>
      <c r="U183" s="1"/>
      <c r="V183" s="1"/>
      <c r="W183" s="1"/>
      <c r="X183" s="1"/>
    </row>
    <row r="184" ht="15.75" customHeight="1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74"/>
      <c r="S184" s="1"/>
      <c r="T184" s="1"/>
      <c r="U184" s="1"/>
      <c r="V184" s="1"/>
      <c r="W184" s="1"/>
      <c r="X184" s="1"/>
    </row>
    <row r="185" ht="15.75" customHeight="1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74"/>
      <c r="S185" s="1"/>
      <c r="T185" s="1"/>
      <c r="U185" s="1"/>
      <c r="V185" s="1"/>
      <c r="W185" s="1"/>
      <c r="X185" s="1"/>
    </row>
    <row r="186" ht="15.75" customHeight="1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74"/>
      <c r="S186" s="1"/>
      <c r="T186" s="1"/>
      <c r="U186" s="1"/>
      <c r="V186" s="1"/>
      <c r="W186" s="1"/>
      <c r="X186" s="1"/>
    </row>
    <row r="187" ht="15.75" customHeight="1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74"/>
      <c r="S187" s="1"/>
      <c r="T187" s="1"/>
      <c r="U187" s="1"/>
      <c r="V187" s="1"/>
      <c r="W187" s="1"/>
      <c r="X187" s="1"/>
    </row>
    <row r="188" ht="15.75" customHeight="1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74"/>
      <c r="S188" s="1"/>
      <c r="T188" s="1"/>
      <c r="U188" s="1"/>
      <c r="V188" s="1"/>
      <c r="W188" s="1"/>
      <c r="X188" s="1"/>
    </row>
    <row r="189" ht="15.75" customHeight="1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74"/>
      <c r="S189" s="1"/>
      <c r="T189" s="1"/>
      <c r="U189" s="1"/>
      <c r="V189" s="1"/>
      <c r="W189" s="1"/>
      <c r="X189" s="1"/>
    </row>
    <row r="190" ht="15.75" customHeight="1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74"/>
      <c r="S190" s="1"/>
      <c r="T190" s="1"/>
      <c r="U190" s="1"/>
      <c r="V190" s="1"/>
      <c r="W190" s="1"/>
      <c r="X190" s="1"/>
    </row>
    <row r="191" ht="15.75" customHeight="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74"/>
      <c r="S191" s="1"/>
      <c r="T191" s="1"/>
      <c r="U191" s="1"/>
      <c r="V191" s="1"/>
      <c r="W191" s="1"/>
      <c r="X191" s="1"/>
    </row>
    <row r="192" ht="15.75" customHeight="1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74"/>
      <c r="S192" s="1"/>
      <c r="T192" s="1"/>
      <c r="U192" s="1"/>
      <c r="V192" s="1"/>
      <c r="W192" s="1"/>
      <c r="X192" s="1"/>
    </row>
    <row r="193" ht="15.75" customHeight="1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74"/>
      <c r="S193" s="1"/>
      <c r="T193" s="1"/>
      <c r="U193" s="1"/>
      <c r="V193" s="1"/>
      <c r="W193" s="1"/>
      <c r="X193" s="1"/>
    </row>
    <row r="194" ht="15.75" customHeight="1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74"/>
      <c r="S194" s="1"/>
      <c r="T194" s="1"/>
      <c r="U194" s="1"/>
      <c r="V194" s="1"/>
      <c r="W194" s="1"/>
      <c r="X194" s="1"/>
    </row>
    <row r="195" ht="15.75" customHeight="1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74"/>
      <c r="S195" s="1"/>
      <c r="T195" s="1"/>
      <c r="U195" s="1"/>
      <c r="V195" s="1"/>
      <c r="W195" s="1"/>
      <c r="X195" s="1"/>
    </row>
    <row r="196" ht="15.75" customHeight="1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74"/>
      <c r="S196" s="1"/>
      <c r="T196" s="1"/>
      <c r="U196" s="1"/>
      <c r="V196" s="1"/>
      <c r="W196" s="1"/>
      <c r="X196" s="1"/>
    </row>
    <row r="197" ht="15.75" customHeight="1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74"/>
      <c r="S197" s="1"/>
      <c r="T197" s="1"/>
      <c r="U197" s="1"/>
      <c r="V197" s="1"/>
      <c r="W197" s="1"/>
      <c r="X197" s="1"/>
    </row>
    <row r="198" ht="15.75" customHeight="1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74"/>
      <c r="S198" s="1"/>
      <c r="T198" s="1"/>
      <c r="U198" s="1"/>
      <c r="V198" s="1"/>
      <c r="W198" s="1"/>
      <c r="X198" s="1"/>
    </row>
    <row r="199" ht="15.75" customHeight="1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74"/>
      <c r="S199" s="1"/>
      <c r="T199" s="1"/>
      <c r="U199" s="1"/>
      <c r="V199" s="1"/>
      <c r="W199" s="1"/>
      <c r="X199" s="1"/>
    </row>
    <row r="200" ht="15.75" customHeight="1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74"/>
      <c r="S200" s="1"/>
      <c r="T200" s="1"/>
      <c r="U200" s="1"/>
      <c r="V200" s="1"/>
      <c r="W200" s="1"/>
      <c r="X200" s="1"/>
    </row>
    <row r="201" ht="15.75" customHeight="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74"/>
      <c r="S201" s="1"/>
      <c r="T201" s="1"/>
      <c r="U201" s="1"/>
      <c r="V201" s="1"/>
      <c r="W201" s="1"/>
      <c r="X201" s="1"/>
    </row>
    <row r="202" ht="15.75" customHeight="1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74"/>
      <c r="S202" s="1"/>
      <c r="T202" s="1"/>
      <c r="U202" s="1"/>
      <c r="V202" s="1"/>
      <c r="W202" s="1"/>
      <c r="X202" s="1"/>
    </row>
    <row r="203" ht="15.75" customHeight="1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74"/>
      <c r="S203" s="1"/>
      <c r="T203" s="1"/>
      <c r="U203" s="1"/>
      <c r="V203" s="1"/>
      <c r="W203" s="1"/>
      <c r="X203" s="1"/>
    </row>
    <row r="204" ht="15.75" customHeight="1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74"/>
      <c r="S204" s="1"/>
      <c r="T204" s="1"/>
      <c r="U204" s="1"/>
      <c r="V204" s="1"/>
      <c r="W204" s="1"/>
      <c r="X204" s="1"/>
    </row>
    <row r="205" ht="15.75" customHeight="1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74"/>
      <c r="S205" s="1"/>
      <c r="T205" s="1"/>
      <c r="U205" s="1"/>
      <c r="V205" s="1"/>
      <c r="W205" s="1"/>
      <c r="X205" s="1"/>
    </row>
    <row r="206" ht="15.75" customHeight="1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74"/>
      <c r="S206" s="1"/>
      <c r="T206" s="1"/>
      <c r="U206" s="1"/>
      <c r="V206" s="1"/>
      <c r="W206" s="1"/>
      <c r="X206" s="1"/>
    </row>
    <row r="207" ht="15.75" customHeight="1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74"/>
      <c r="S207" s="1"/>
      <c r="T207" s="1"/>
      <c r="U207" s="1"/>
      <c r="V207" s="1"/>
      <c r="W207" s="1"/>
      <c r="X207" s="1"/>
    </row>
    <row r="208" ht="15.75" customHeight="1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74"/>
      <c r="S208" s="1"/>
      <c r="T208" s="1"/>
      <c r="U208" s="1"/>
      <c r="V208" s="1"/>
      <c r="W208" s="1"/>
      <c r="X208" s="1"/>
    </row>
    <row r="209" ht="15.75" customHeight="1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74"/>
      <c r="S209" s="1"/>
      <c r="T209" s="1"/>
      <c r="U209" s="1"/>
      <c r="V209" s="1"/>
      <c r="W209" s="1"/>
      <c r="X209" s="1"/>
    </row>
    <row r="210" ht="15.75" customHeight="1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74"/>
      <c r="S210" s="1"/>
      <c r="T210" s="1"/>
      <c r="U210" s="1"/>
      <c r="V210" s="1"/>
      <c r="W210" s="1"/>
      <c r="X210" s="1"/>
    </row>
    <row r="211" ht="15.75" customHeight="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74"/>
      <c r="S211" s="1"/>
      <c r="T211" s="1"/>
      <c r="U211" s="1"/>
      <c r="V211" s="1"/>
      <c r="W211" s="1"/>
      <c r="X211" s="1"/>
    </row>
    <row r="212" ht="15.75" customHeight="1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74"/>
      <c r="S212" s="1"/>
      <c r="T212" s="1"/>
      <c r="U212" s="1"/>
      <c r="V212" s="1"/>
      <c r="W212" s="1"/>
      <c r="X212" s="1"/>
    </row>
    <row r="213" ht="15.75" customHeight="1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74"/>
      <c r="S213" s="1"/>
      <c r="T213" s="1"/>
      <c r="U213" s="1"/>
      <c r="V213" s="1"/>
      <c r="W213" s="1"/>
      <c r="X213" s="1"/>
    </row>
    <row r="214" ht="15.75" customHeight="1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74"/>
      <c r="S214" s="1"/>
      <c r="T214" s="1"/>
      <c r="U214" s="1"/>
      <c r="V214" s="1"/>
      <c r="W214" s="1"/>
      <c r="X214" s="1"/>
    </row>
    <row r="215" ht="15.75" customHeight="1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74"/>
      <c r="S215" s="1"/>
      <c r="T215" s="1"/>
      <c r="U215" s="1"/>
      <c r="V215" s="1"/>
      <c r="W215" s="1"/>
      <c r="X215" s="1"/>
    </row>
    <row r="216" ht="15.75" customHeight="1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74"/>
      <c r="S216" s="1"/>
      <c r="T216" s="1"/>
      <c r="U216" s="1"/>
      <c r="V216" s="1"/>
      <c r="W216" s="1"/>
      <c r="X216" s="1"/>
    </row>
    <row r="217" ht="15.75" customHeight="1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74"/>
      <c r="S217" s="1"/>
      <c r="T217" s="1"/>
      <c r="U217" s="1"/>
      <c r="V217" s="1"/>
      <c r="W217" s="1"/>
      <c r="X217" s="1"/>
    </row>
    <row r="218" ht="15.75" customHeight="1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74"/>
      <c r="S218" s="1"/>
      <c r="T218" s="1"/>
      <c r="U218" s="1"/>
      <c r="V218" s="1"/>
      <c r="W218" s="1"/>
      <c r="X218" s="1"/>
    </row>
    <row r="219" ht="15.75" customHeight="1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74"/>
      <c r="S219" s="1"/>
      <c r="T219" s="1"/>
      <c r="U219" s="1"/>
      <c r="V219" s="1"/>
      <c r="W219" s="1"/>
      <c r="X219" s="1"/>
    </row>
    <row r="220" ht="15.75" customHeight="1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74"/>
      <c r="S220" s="1"/>
      <c r="T220" s="1"/>
      <c r="U220" s="1"/>
      <c r="V220" s="1"/>
      <c r="W220" s="1"/>
      <c r="X220" s="1"/>
    </row>
    <row r="221" ht="15.75" customHeight="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74"/>
      <c r="S221" s="1"/>
      <c r="T221" s="1"/>
      <c r="U221" s="1"/>
      <c r="V221" s="1"/>
      <c r="W221" s="1"/>
      <c r="X221" s="1"/>
    </row>
    <row r="222" ht="15.75" customHeight="1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74"/>
      <c r="S222" s="1"/>
      <c r="T222" s="1"/>
      <c r="U222" s="1"/>
      <c r="V222" s="1"/>
      <c r="W222" s="1"/>
      <c r="X222" s="1"/>
    </row>
    <row r="223" ht="15.75" customHeight="1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74"/>
      <c r="S223" s="1"/>
      <c r="T223" s="1"/>
      <c r="U223" s="1"/>
      <c r="V223" s="1"/>
      <c r="W223" s="1"/>
      <c r="X223" s="1"/>
    </row>
    <row r="224" ht="15.75" customHeight="1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74"/>
      <c r="S224" s="1"/>
      <c r="T224" s="1"/>
      <c r="U224" s="1"/>
      <c r="V224" s="1"/>
      <c r="W224" s="1"/>
      <c r="X224" s="1"/>
    </row>
    <row r="225" ht="15.75" customHeight="1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74"/>
      <c r="S225" s="1"/>
      <c r="T225" s="1"/>
      <c r="U225" s="1"/>
      <c r="V225" s="1"/>
      <c r="W225" s="1"/>
      <c r="X225" s="1"/>
    </row>
    <row r="226" ht="15.75" customHeight="1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74"/>
      <c r="S226" s="1"/>
      <c r="T226" s="1"/>
      <c r="U226" s="1"/>
      <c r="V226" s="1"/>
      <c r="W226" s="1"/>
      <c r="X226" s="1"/>
    </row>
    <row r="227" ht="15.75" customHeight="1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74"/>
      <c r="S227" s="1"/>
      <c r="T227" s="1"/>
      <c r="U227" s="1"/>
      <c r="V227" s="1"/>
      <c r="W227" s="1"/>
      <c r="X227" s="1"/>
    </row>
    <row r="228" ht="15.75" customHeight="1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74"/>
      <c r="S228" s="1"/>
      <c r="T228" s="1"/>
      <c r="U228" s="1"/>
      <c r="V228" s="1"/>
      <c r="W228" s="1"/>
      <c r="X228" s="1"/>
    </row>
    <row r="229" ht="15.75" customHeight="1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74"/>
      <c r="S229" s="1"/>
      <c r="T229" s="1"/>
      <c r="U229" s="1"/>
      <c r="V229" s="1"/>
      <c r="W229" s="1"/>
      <c r="X229" s="1"/>
    </row>
    <row r="230" ht="15.75" customHeight="1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74"/>
      <c r="S230" s="1"/>
      <c r="T230" s="1"/>
      <c r="U230" s="1"/>
      <c r="V230" s="1"/>
      <c r="W230" s="1"/>
      <c r="X230" s="1"/>
    </row>
    <row r="231" ht="15.75" customHeight="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74"/>
      <c r="S231" s="1"/>
      <c r="T231" s="1"/>
      <c r="U231" s="1"/>
      <c r="V231" s="1"/>
      <c r="W231" s="1"/>
      <c r="X231" s="1"/>
    </row>
    <row r="232" ht="15.75" customHeight="1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74"/>
      <c r="S232" s="1"/>
      <c r="T232" s="1"/>
      <c r="U232" s="1"/>
      <c r="V232" s="1"/>
      <c r="W232" s="1"/>
      <c r="X232" s="1"/>
    </row>
    <row r="233" ht="15.75" customHeight="1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74"/>
      <c r="S233" s="1"/>
      <c r="T233" s="1"/>
      <c r="U233" s="1"/>
      <c r="V233" s="1"/>
      <c r="W233" s="1"/>
      <c r="X233" s="1"/>
    </row>
    <row r="234" ht="15.75" customHeight="1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74"/>
      <c r="S234" s="1"/>
      <c r="T234" s="1"/>
      <c r="U234" s="1"/>
      <c r="V234" s="1"/>
      <c r="W234" s="1"/>
      <c r="X234" s="1"/>
    </row>
    <row r="235" ht="15.75" customHeight="1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74"/>
      <c r="S235" s="1"/>
      <c r="T235" s="1"/>
      <c r="U235" s="1"/>
      <c r="V235" s="1"/>
      <c r="W235" s="1"/>
      <c r="X235" s="1"/>
    </row>
    <row r="236" ht="15.75" customHeight="1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74"/>
      <c r="S236" s="1"/>
      <c r="T236" s="1"/>
      <c r="U236" s="1"/>
      <c r="V236" s="1"/>
      <c r="W236" s="1"/>
      <c r="X236" s="1"/>
    </row>
    <row r="237" ht="15.75" customHeight="1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74"/>
      <c r="S237" s="1"/>
      <c r="T237" s="1"/>
      <c r="U237" s="1"/>
      <c r="V237" s="1"/>
      <c r="W237" s="1"/>
      <c r="X237" s="1"/>
    </row>
    <row r="238" ht="15.75" customHeight="1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74"/>
      <c r="S238" s="1"/>
      <c r="T238" s="1"/>
      <c r="U238" s="1"/>
      <c r="V238" s="1"/>
      <c r="W238" s="1"/>
      <c r="X238" s="1"/>
    </row>
    <row r="239" ht="15.75" customHeight="1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74"/>
      <c r="S239" s="1"/>
      <c r="T239" s="1"/>
      <c r="U239" s="1"/>
      <c r="V239" s="1"/>
      <c r="W239" s="1"/>
      <c r="X239" s="1"/>
    </row>
    <row r="240" ht="15.75" customHeight="1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74"/>
      <c r="S240" s="1"/>
      <c r="T240" s="1"/>
      <c r="U240" s="1"/>
      <c r="V240" s="1"/>
      <c r="W240" s="1"/>
      <c r="X240" s="1"/>
    </row>
    <row r="241" ht="15.75" customHeight="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74"/>
      <c r="S241" s="1"/>
      <c r="T241" s="1"/>
      <c r="U241" s="1"/>
      <c r="V241" s="1"/>
      <c r="W241" s="1"/>
      <c r="X241" s="1"/>
    </row>
    <row r="242" ht="15.75" customHeight="1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74"/>
      <c r="S242" s="1"/>
      <c r="T242" s="1"/>
      <c r="U242" s="1"/>
      <c r="V242" s="1"/>
      <c r="W242" s="1"/>
      <c r="X242" s="1"/>
    </row>
    <row r="243" ht="15.75" customHeight="1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74"/>
      <c r="S243" s="1"/>
      <c r="T243" s="1"/>
      <c r="U243" s="1"/>
      <c r="V243" s="1"/>
      <c r="W243" s="1"/>
      <c r="X243" s="1"/>
    </row>
    <row r="244" ht="15.75" customHeight="1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74"/>
      <c r="S244" s="1"/>
      <c r="T244" s="1"/>
      <c r="U244" s="1"/>
      <c r="V244" s="1"/>
      <c r="W244" s="1"/>
      <c r="X244" s="1"/>
    </row>
    <row r="245" ht="15.75" customHeight="1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74"/>
      <c r="S245" s="1"/>
      <c r="T245" s="1"/>
      <c r="U245" s="1"/>
      <c r="V245" s="1"/>
      <c r="W245" s="1"/>
      <c r="X245" s="1"/>
    </row>
    <row r="246" ht="15.75" customHeight="1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74"/>
      <c r="S246" s="1"/>
      <c r="T246" s="1"/>
      <c r="U246" s="1"/>
      <c r="V246" s="1"/>
      <c r="W246" s="1"/>
      <c r="X246" s="1"/>
    </row>
    <row r="247" ht="15.75" customHeight="1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74"/>
      <c r="S247" s="1"/>
      <c r="T247" s="1"/>
      <c r="U247" s="1"/>
      <c r="V247" s="1"/>
      <c r="W247" s="1"/>
      <c r="X247" s="1"/>
    </row>
    <row r="248" ht="15.75" customHeight="1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74"/>
      <c r="S248" s="1"/>
      <c r="T248" s="1"/>
      <c r="U248" s="1"/>
      <c r="V248" s="1"/>
      <c r="W248" s="1"/>
      <c r="X248" s="1"/>
    </row>
    <row r="249" ht="15.75" customHeight="1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74"/>
      <c r="S249" s="1"/>
      <c r="T249" s="1"/>
      <c r="U249" s="1"/>
      <c r="V249" s="1"/>
      <c r="W249" s="1"/>
      <c r="X249" s="1"/>
    </row>
    <row r="250" ht="15.75" customHeight="1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74"/>
      <c r="S250" s="1"/>
      <c r="T250" s="1"/>
      <c r="U250" s="1"/>
      <c r="V250" s="1"/>
      <c r="W250" s="1"/>
      <c r="X250" s="1"/>
    </row>
    <row r="251" ht="15.75" customHeight="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74"/>
      <c r="S251" s="1"/>
      <c r="T251" s="1"/>
      <c r="U251" s="1"/>
      <c r="V251" s="1"/>
      <c r="W251" s="1"/>
      <c r="X251" s="1"/>
    </row>
    <row r="252" ht="15.75" customHeight="1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74"/>
      <c r="S252" s="1"/>
      <c r="T252" s="1"/>
      <c r="U252" s="1"/>
      <c r="V252" s="1"/>
      <c r="W252" s="1"/>
      <c r="X252" s="1"/>
    </row>
    <row r="253" ht="15.75" customHeight="1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74"/>
      <c r="S253" s="1"/>
      <c r="T253" s="1"/>
      <c r="U253" s="1"/>
      <c r="V253" s="1"/>
      <c r="W253" s="1"/>
      <c r="X253" s="1"/>
    </row>
    <row r="254" ht="15.75" customHeight="1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74"/>
      <c r="S254" s="1"/>
      <c r="T254" s="1"/>
      <c r="U254" s="1"/>
      <c r="V254" s="1"/>
      <c r="W254" s="1"/>
      <c r="X254" s="1"/>
    </row>
    <row r="255" ht="15.75" customHeight="1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74"/>
      <c r="S255" s="1"/>
      <c r="T255" s="1"/>
      <c r="U255" s="1"/>
      <c r="V255" s="1"/>
      <c r="W255" s="1"/>
      <c r="X255" s="1"/>
    </row>
    <row r="256" ht="15.75" customHeight="1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74"/>
      <c r="S256" s="1"/>
      <c r="T256" s="1"/>
      <c r="U256" s="1"/>
      <c r="V256" s="1"/>
      <c r="W256" s="1"/>
      <c r="X256" s="1"/>
    </row>
    <row r="257" ht="15.75" customHeight="1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74"/>
      <c r="S257" s="1"/>
      <c r="T257" s="1"/>
      <c r="U257" s="1"/>
      <c r="V257" s="1"/>
      <c r="W257" s="1"/>
      <c r="X257" s="1"/>
    </row>
    <row r="258" ht="15.75" customHeight="1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74"/>
      <c r="S258" s="1"/>
      <c r="T258" s="1"/>
      <c r="U258" s="1"/>
      <c r="V258" s="1"/>
      <c r="W258" s="1"/>
      <c r="X258" s="1"/>
    </row>
    <row r="259" ht="15.75" customHeight="1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74"/>
      <c r="S259" s="1"/>
      <c r="T259" s="1"/>
      <c r="U259" s="1"/>
      <c r="V259" s="1"/>
      <c r="W259" s="1"/>
      <c r="X259" s="1"/>
    </row>
    <row r="260" ht="15.75" customHeight="1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74"/>
      <c r="S260" s="1"/>
      <c r="T260" s="1"/>
      <c r="U260" s="1"/>
      <c r="V260" s="1"/>
      <c r="W260" s="1"/>
      <c r="X260" s="1"/>
    </row>
    <row r="261" ht="15.75" customHeight="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74"/>
      <c r="S261" s="1"/>
      <c r="T261" s="1"/>
      <c r="U261" s="1"/>
      <c r="V261" s="1"/>
      <c r="W261" s="1"/>
      <c r="X261" s="1"/>
    </row>
    <row r="262" ht="15.75" customHeight="1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74"/>
      <c r="S262" s="1"/>
      <c r="T262" s="1"/>
      <c r="U262" s="1"/>
      <c r="V262" s="1"/>
      <c r="W262" s="1"/>
      <c r="X262" s="1"/>
    </row>
    <row r="263" ht="15.75" customHeight="1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74"/>
      <c r="S263" s="1"/>
      <c r="T263" s="1"/>
      <c r="U263" s="1"/>
      <c r="V263" s="1"/>
      <c r="W263" s="1"/>
      <c r="X263" s="1"/>
    </row>
    <row r="264" ht="15.75" customHeight="1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74"/>
      <c r="S264" s="1"/>
      <c r="T264" s="1"/>
      <c r="U264" s="1"/>
      <c r="V264" s="1"/>
      <c r="W264" s="1"/>
      <c r="X264" s="1"/>
    </row>
    <row r="265" ht="15.75" customHeight="1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74"/>
      <c r="S265" s="1"/>
      <c r="T265" s="1"/>
      <c r="U265" s="1"/>
      <c r="V265" s="1"/>
      <c r="W265" s="1"/>
      <c r="X265" s="1"/>
    </row>
    <row r="266" ht="15.75" customHeight="1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74"/>
      <c r="S266" s="1"/>
      <c r="T266" s="1"/>
      <c r="U266" s="1"/>
      <c r="V266" s="1"/>
      <c r="W266" s="1"/>
      <c r="X266" s="1"/>
    </row>
    <row r="267" ht="15.75" customHeight="1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74"/>
      <c r="S267" s="1"/>
      <c r="T267" s="1"/>
      <c r="U267" s="1"/>
      <c r="V267" s="1"/>
      <c r="W267" s="1"/>
      <c r="X267" s="1"/>
    </row>
    <row r="268" ht="15.75" customHeight="1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74"/>
      <c r="S268" s="1"/>
      <c r="T268" s="1"/>
      <c r="U268" s="1"/>
      <c r="V268" s="1"/>
      <c r="W268" s="1"/>
      <c r="X268" s="1"/>
    </row>
    <row r="269" ht="15.75" customHeight="1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74"/>
      <c r="S269" s="1"/>
      <c r="T269" s="1"/>
      <c r="U269" s="1"/>
      <c r="V269" s="1"/>
      <c r="W269" s="1"/>
      <c r="X269" s="1"/>
    </row>
    <row r="270" ht="15.75" customHeight="1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74"/>
      <c r="S270" s="1"/>
      <c r="T270" s="1"/>
      <c r="U270" s="1"/>
      <c r="V270" s="1"/>
      <c r="W270" s="1"/>
      <c r="X270" s="1"/>
    </row>
    <row r="271" ht="15.75" customHeight="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74"/>
      <c r="S271" s="1"/>
      <c r="T271" s="1"/>
      <c r="U271" s="1"/>
      <c r="V271" s="1"/>
      <c r="W271" s="1"/>
      <c r="X271" s="1"/>
    </row>
    <row r="272" ht="15.75" customHeight="1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74"/>
      <c r="S272" s="1"/>
      <c r="T272" s="1"/>
      <c r="U272" s="1"/>
      <c r="V272" s="1"/>
      <c r="W272" s="1"/>
      <c r="X272" s="1"/>
    </row>
    <row r="273" ht="15.75" customHeight="1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74"/>
      <c r="S273" s="1"/>
      <c r="T273" s="1"/>
      <c r="U273" s="1"/>
      <c r="V273" s="1"/>
      <c r="W273" s="1"/>
      <c r="X273" s="1"/>
    </row>
    <row r="274" ht="15.75" customHeight="1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74"/>
      <c r="S274" s="1"/>
      <c r="T274" s="1"/>
      <c r="U274" s="1"/>
      <c r="V274" s="1"/>
      <c r="W274" s="1"/>
      <c r="X274" s="1"/>
    </row>
    <row r="275" ht="15.75" customHeight="1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74"/>
      <c r="S275" s="1"/>
      <c r="T275" s="1"/>
      <c r="U275" s="1"/>
      <c r="V275" s="1"/>
      <c r="W275" s="1"/>
      <c r="X275" s="1"/>
    </row>
    <row r="276" ht="15.75" customHeight="1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74"/>
      <c r="S276" s="1"/>
      <c r="T276" s="1"/>
      <c r="U276" s="1"/>
      <c r="V276" s="1"/>
      <c r="W276" s="1"/>
      <c r="X276" s="1"/>
    </row>
    <row r="277" ht="15.75" customHeight="1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74"/>
      <c r="S277" s="1"/>
      <c r="T277" s="1"/>
      <c r="U277" s="1"/>
      <c r="V277" s="1"/>
      <c r="W277" s="1"/>
      <c r="X277" s="1"/>
    </row>
    <row r="278" ht="15.75" customHeight="1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74"/>
      <c r="S278" s="1"/>
      <c r="T278" s="1"/>
      <c r="U278" s="1"/>
      <c r="V278" s="1"/>
      <c r="W278" s="1"/>
      <c r="X278" s="1"/>
    </row>
    <row r="279" ht="15.75" customHeight="1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74"/>
      <c r="S279" s="1"/>
      <c r="T279" s="1"/>
      <c r="U279" s="1"/>
      <c r="V279" s="1"/>
      <c r="W279" s="1"/>
      <c r="X279" s="1"/>
    </row>
    <row r="280" ht="15.75" customHeight="1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74"/>
      <c r="S280" s="1"/>
      <c r="T280" s="1"/>
      <c r="U280" s="1"/>
      <c r="V280" s="1"/>
      <c r="W280" s="1"/>
      <c r="X280" s="1"/>
    </row>
    <row r="281" ht="15.75" customHeight="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74"/>
      <c r="S281" s="1"/>
      <c r="T281" s="1"/>
      <c r="U281" s="1"/>
      <c r="V281" s="1"/>
      <c r="W281" s="1"/>
      <c r="X281" s="1"/>
    </row>
    <row r="282" ht="15.75" customHeight="1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74"/>
      <c r="S282" s="1"/>
      <c r="T282" s="1"/>
      <c r="U282" s="1"/>
      <c r="V282" s="1"/>
      <c r="W282" s="1"/>
      <c r="X282" s="1"/>
    </row>
    <row r="283" ht="15.75" customHeight="1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74"/>
      <c r="S283" s="1"/>
      <c r="T283" s="1"/>
      <c r="U283" s="1"/>
      <c r="V283" s="1"/>
      <c r="W283" s="1"/>
      <c r="X283" s="1"/>
    </row>
    <row r="284" ht="15.75" customHeight="1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74"/>
      <c r="S284" s="1"/>
      <c r="T284" s="1"/>
      <c r="U284" s="1"/>
      <c r="V284" s="1"/>
      <c r="W284" s="1"/>
      <c r="X284" s="1"/>
    </row>
    <row r="285" ht="15.75" customHeight="1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74"/>
      <c r="S285" s="1"/>
      <c r="T285" s="1"/>
      <c r="U285" s="1"/>
      <c r="V285" s="1"/>
      <c r="W285" s="1"/>
      <c r="X285" s="1"/>
    </row>
    <row r="286" ht="15.75" customHeight="1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74"/>
      <c r="S286" s="1"/>
      <c r="T286" s="1"/>
      <c r="U286" s="1"/>
      <c r="V286" s="1"/>
      <c r="W286" s="1"/>
      <c r="X286" s="1"/>
    </row>
    <row r="287" ht="15.75" customHeight="1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74"/>
      <c r="S287" s="1"/>
      <c r="T287" s="1"/>
      <c r="U287" s="1"/>
      <c r="V287" s="1"/>
      <c r="W287" s="1"/>
      <c r="X287" s="1"/>
    </row>
    <row r="288" ht="15.75" customHeight="1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74"/>
      <c r="S288" s="1"/>
      <c r="T288" s="1"/>
      <c r="U288" s="1"/>
      <c r="V288" s="1"/>
      <c r="W288" s="1"/>
      <c r="X288" s="1"/>
    </row>
    <row r="289" ht="15.75" customHeight="1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74"/>
      <c r="S289" s="1"/>
      <c r="T289" s="1"/>
      <c r="U289" s="1"/>
      <c r="V289" s="1"/>
      <c r="W289" s="1"/>
      <c r="X289" s="1"/>
    </row>
    <row r="290" ht="15.75" customHeight="1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74"/>
      <c r="S290" s="1"/>
      <c r="T290" s="1"/>
      <c r="U290" s="1"/>
      <c r="V290" s="1"/>
      <c r="W290" s="1"/>
      <c r="X290" s="1"/>
    </row>
    <row r="291" ht="15.75" customHeight="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74"/>
      <c r="S291" s="1"/>
      <c r="T291" s="1"/>
      <c r="U291" s="1"/>
      <c r="V291" s="1"/>
      <c r="W291" s="1"/>
      <c r="X291" s="1"/>
    </row>
    <row r="292" ht="15.75" customHeight="1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74"/>
      <c r="S292" s="1"/>
      <c r="T292" s="1"/>
      <c r="U292" s="1"/>
      <c r="V292" s="1"/>
      <c r="W292" s="1"/>
      <c r="X292" s="1"/>
    </row>
    <row r="293" ht="15.75" customHeight="1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74"/>
      <c r="S293" s="1"/>
      <c r="T293" s="1"/>
      <c r="U293" s="1"/>
      <c r="V293" s="1"/>
      <c r="W293" s="1"/>
      <c r="X293" s="1"/>
    </row>
    <row r="294" ht="15.75" customHeight="1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74"/>
      <c r="S294" s="1"/>
      <c r="T294" s="1"/>
      <c r="U294" s="1"/>
      <c r="V294" s="1"/>
      <c r="W294" s="1"/>
      <c r="X294" s="1"/>
    </row>
    <row r="295" ht="15.75" customHeight="1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74"/>
      <c r="S295" s="1"/>
      <c r="T295" s="1"/>
      <c r="U295" s="1"/>
      <c r="V295" s="1"/>
      <c r="W295" s="1"/>
      <c r="X295" s="1"/>
    </row>
    <row r="296" ht="15.75" customHeight="1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74"/>
      <c r="S296" s="1"/>
      <c r="T296" s="1"/>
      <c r="U296" s="1"/>
      <c r="V296" s="1"/>
      <c r="W296" s="1"/>
      <c r="X296" s="1"/>
    </row>
    <row r="297" ht="15.75" customHeight="1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74"/>
      <c r="S297" s="1"/>
      <c r="T297" s="1"/>
      <c r="U297" s="1"/>
      <c r="V297" s="1"/>
      <c r="W297" s="1"/>
      <c r="X297" s="1"/>
    </row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I5:O5"/>
    <mergeCell ref="Q5:S5"/>
    <mergeCell ref="D6:E6"/>
    <mergeCell ref="V6:X6"/>
    <mergeCell ref="B7:B8"/>
    <mergeCell ref="C7:C8"/>
    <mergeCell ref="F7:F8"/>
  </mergeCells>
  <conditionalFormatting sqref="R10:R78 R81:R83">
    <cfRule type="cellIs" dxfId="0" priority="1" operator="greaterThan">
      <formula>"100%"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0"/>
  </cols>
  <sheetData>
    <row r="5">
      <c r="B5" s="122" t="s">
        <v>208</v>
      </c>
    </row>
    <row r="6">
      <c r="B6" s="92" t="s">
        <v>209</v>
      </c>
      <c r="D6" s="92" t="s">
        <v>210</v>
      </c>
    </row>
    <row r="7">
      <c r="A7" s="92" t="s">
        <v>211</v>
      </c>
      <c r="B7" s="92" t="s">
        <v>212</v>
      </c>
    </row>
    <row r="8">
      <c r="A8" s="92" t="s">
        <v>213</v>
      </c>
      <c r="B8" s="92" t="s">
        <v>214</v>
      </c>
    </row>
    <row r="9">
      <c r="A9" s="92" t="s">
        <v>215</v>
      </c>
      <c r="B9" s="92" t="s">
        <v>216</v>
      </c>
    </row>
    <row r="10">
      <c r="A10" s="92" t="s">
        <v>217</v>
      </c>
      <c r="B10" s="92" t="s">
        <v>218</v>
      </c>
      <c r="D10" s="92" t="s">
        <v>210</v>
      </c>
    </row>
    <row r="11">
      <c r="B11" s="92" t="s">
        <v>219</v>
      </c>
      <c r="D11" s="92" t="s">
        <v>210</v>
      </c>
    </row>
    <row r="12">
      <c r="A12" s="92" t="s">
        <v>220</v>
      </c>
      <c r="B12" s="92" t="s">
        <v>221</v>
      </c>
    </row>
    <row r="13">
      <c r="B13" s="92" t="s">
        <v>222</v>
      </c>
    </row>
    <row r="14">
      <c r="B14" s="92" t="s">
        <v>223</v>
      </c>
    </row>
    <row r="15">
      <c r="B15" s="92" t="s">
        <v>224</v>
      </c>
    </row>
    <row r="16">
      <c r="B16" s="92" t="s">
        <v>225</v>
      </c>
    </row>
    <row r="17">
      <c r="B17" s="92" t="s">
        <v>226</v>
      </c>
    </row>
    <row r="18">
      <c r="B18" s="92" t="s">
        <v>227</v>
      </c>
    </row>
    <row r="19">
      <c r="B19" s="92" t="s">
        <v>228</v>
      </c>
    </row>
    <row r="20">
      <c r="B20" s="92" t="s">
        <v>229</v>
      </c>
    </row>
    <row r="21">
      <c r="B21" s="92" t="s">
        <v>230</v>
      </c>
    </row>
    <row r="22">
      <c r="B22" s="92" t="s">
        <v>151</v>
      </c>
    </row>
    <row r="23">
      <c r="B23" s="92" t="s">
        <v>231</v>
      </c>
    </row>
    <row r="24">
      <c r="B24" s="92" t="s">
        <v>232</v>
      </c>
    </row>
    <row r="25">
      <c r="B25" s="92" t="s">
        <v>107</v>
      </c>
    </row>
    <row r="26">
      <c r="B26" s="92" t="s">
        <v>233</v>
      </c>
    </row>
    <row r="27">
      <c r="B27" s="92" t="s">
        <v>234</v>
      </c>
    </row>
    <row r="28">
      <c r="B28" s="92" t="s">
        <v>235</v>
      </c>
    </row>
    <row r="29">
      <c r="B29" s="92" t="s">
        <v>236</v>
      </c>
    </row>
    <row r="30">
      <c r="B30" s="92" t="s">
        <v>82</v>
      </c>
    </row>
    <row r="31">
      <c r="B31" s="92" t="s">
        <v>237</v>
      </c>
    </row>
    <row r="32">
      <c r="B32" s="92" t="s">
        <v>238</v>
      </c>
    </row>
    <row r="33">
      <c r="B33" s="92" t="s">
        <v>239</v>
      </c>
    </row>
    <row r="34">
      <c r="B34" s="92" t="s">
        <v>240</v>
      </c>
    </row>
    <row r="35">
      <c r="B35" s="92" t="s">
        <v>241</v>
      </c>
    </row>
    <row r="36">
      <c r="B36" s="92" t="s">
        <v>242</v>
      </c>
    </row>
    <row r="37">
      <c r="B37" s="92" t="s">
        <v>243</v>
      </c>
    </row>
    <row r="38" ht="13.5" customHeight="1">
      <c r="B38" s="92" t="s">
        <v>244</v>
      </c>
    </row>
    <row r="39" ht="13.5" customHeight="1"/>
    <row r="40">
      <c r="B40" s="92" t="s">
        <v>245</v>
      </c>
    </row>
    <row r="41">
      <c r="B41" s="92" t="s">
        <v>246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2024-10-15T23:50:59Z</dcterms:created>
</cp:coreProperties>
</file>