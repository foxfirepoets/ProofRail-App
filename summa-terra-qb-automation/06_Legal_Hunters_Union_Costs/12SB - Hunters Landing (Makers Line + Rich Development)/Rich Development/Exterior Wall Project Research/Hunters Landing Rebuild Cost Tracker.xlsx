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 1" sheetId="1" r:id="rId4"/>
    <sheet state="visible" name="Revised Version" sheetId="2" r:id="rId5"/>
  </sheets>
  <definedNames/>
  <calcPr/>
  <extLst>
    <ext uri="GoogleSheetsCustomDataVersion2">
      <go:sheetsCustomData xmlns:go="http://customooxmlschemas.google.com/" r:id="rId6" roundtripDataChecksum="eMhCyIS1v71T+VCQn44a//Ff9IQVE4sBMaiVl9rgPDg="/>
    </ext>
  </extLst>
</workbook>
</file>

<file path=xl/sharedStrings.xml><?xml version="1.0" encoding="utf-8"?>
<sst xmlns="http://schemas.openxmlformats.org/spreadsheetml/2006/main" count="476" uniqueCount="204">
  <si>
    <t xml:space="preserve">HUNTERS LANDING PAYMENTS </t>
  </si>
  <si>
    <t>Demo</t>
  </si>
  <si>
    <t>NOT DEMO (OLD BILLS)</t>
  </si>
  <si>
    <t>CO's</t>
  </si>
  <si>
    <t>Extra demo</t>
  </si>
  <si>
    <t>mostly Makers Line old bills</t>
  </si>
  <si>
    <t>DRAW 1</t>
  </si>
  <si>
    <t>Rich Dev</t>
  </si>
  <si>
    <t>toilet</t>
  </si>
  <si>
    <t>permit to city</t>
  </si>
  <si>
    <t>Boardwalk</t>
  </si>
  <si>
    <t>demo draw</t>
  </si>
  <si>
    <t>Epic</t>
  </si>
  <si>
    <t>shoring eng</t>
  </si>
  <si>
    <t>Nov-Dec super</t>
  </si>
  <si>
    <t>Fox</t>
  </si>
  <si>
    <t>draw</t>
  </si>
  <si>
    <t>old bills</t>
  </si>
  <si>
    <t>Atlas</t>
  </si>
  <si>
    <t>old dumpster bills</t>
  </si>
  <si>
    <t>DRAW 2</t>
  </si>
  <si>
    <t>Sepect specialties</t>
  </si>
  <si>
    <t>Foundation Building</t>
  </si>
  <si>
    <t>Triple BBB</t>
  </si>
  <si>
    <t xml:space="preserve">TK </t>
  </si>
  <si>
    <t>Wilcox</t>
  </si>
  <si>
    <t>GC's</t>
  </si>
  <si>
    <t>Keith Kap</t>
  </si>
  <si>
    <t xml:space="preserve">track out pad, </t>
  </si>
  <si>
    <t>SCS</t>
  </si>
  <si>
    <t>Cabinets</t>
  </si>
  <si>
    <t>demo, move rock, lumber</t>
  </si>
  <si>
    <t>DRAW 3  (Feb)</t>
  </si>
  <si>
    <t>demo framing</t>
  </si>
  <si>
    <t>framing fix's</t>
  </si>
  <si>
    <t>RMP</t>
  </si>
  <si>
    <t>power bill</t>
  </si>
  <si>
    <t>lumber</t>
  </si>
  <si>
    <t>Elite plumbing (pre-pay finish materials)</t>
  </si>
  <si>
    <t>plumbing from bid</t>
  </si>
  <si>
    <t>Draw 4  (April)</t>
  </si>
  <si>
    <t>demo-framing</t>
  </si>
  <si>
    <t>RMP bill</t>
  </si>
  <si>
    <t>Kap</t>
  </si>
  <si>
    <t>dumpsters, shoring</t>
  </si>
  <si>
    <t>2nd power bill</t>
  </si>
  <si>
    <t>Honey Bucket</t>
  </si>
  <si>
    <t xml:space="preserve">Rich Dev </t>
  </si>
  <si>
    <t>Peak fastners hardware</t>
  </si>
  <si>
    <t>Silverleaf</t>
  </si>
  <si>
    <t xml:space="preserve">Old SWPPP bills </t>
  </si>
  <si>
    <t>Draw 5  (May)</t>
  </si>
  <si>
    <t>peak-FRT</t>
  </si>
  <si>
    <t>dumpster</t>
  </si>
  <si>
    <t>Elite</t>
  </si>
  <si>
    <t>CEARLEY SWPPP</t>
  </si>
  <si>
    <t>draw 6  (June)</t>
  </si>
  <si>
    <t xml:space="preserve">BOARDWALK </t>
  </si>
  <si>
    <t>DEMO, FRAMING, SHORING</t>
  </si>
  <si>
    <t>FRT MATERIALS</t>
  </si>
  <si>
    <t>RICH DEV GC'S</t>
  </si>
  <si>
    <t>TOILET, FENCE, SUPERVISION</t>
  </si>
  <si>
    <t>ELITE PLUMBING</t>
  </si>
  <si>
    <t>REPLACE CRACKED TUBS</t>
  </si>
  <si>
    <t>DELTA DEMO</t>
  </si>
  <si>
    <t>DEMO SPRINKLERS</t>
  </si>
  <si>
    <t>draw 7 (July)</t>
  </si>
  <si>
    <t>Peak Fasteners</t>
  </si>
  <si>
    <t>Framing hardware</t>
  </si>
  <si>
    <t>Elite plumbing</t>
  </si>
  <si>
    <t>testing &amp; repairs &amp; fire collars</t>
  </si>
  <si>
    <t>plumbing draw</t>
  </si>
  <si>
    <t>framing &amp; demo draw</t>
  </si>
  <si>
    <t>TST</t>
  </si>
  <si>
    <t>fire sprinklers draw</t>
  </si>
  <si>
    <t>Keith Kap &amp; Sons</t>
  </si>
  <si>
    <t>Demo haul off</t>
  </si>
  <si>
    <t>Cearley SWPPP</t>
  </si>
  <si>
    <t>CMT testing</t>
  </si>
  <si>
    <t>city required inspections</t>
  </si>
  <si>
    <t>Salmon HVAC</t>
  </si>
  <si>
    <t>hvac draw</t>
  </si>
  <si>
    <t>shoring engineering</t>
  </si>
  <si>
    <t>Fox &amp; Hound Elec</t>
  </si>
  <si>
    <t>Elec draw (old invoices)</t>
  </si>
  <si>
    <t>Rich Dev GC's</t>
  </si>
  <si>
    <t>demo materials, power, supervision</t>
  </si>
  <si>
    <t>draw 8 (August)</t>
  </si>
  <si>
    <t>Rich Development</t>
  </si>
  <si>
    <t xml:space="preserve">BFS </t>
  </si>
  <si>
    <t>75883922-00</t>
  </si>
  <si>
    <t>Simpson 150' 16GA Coil Strap</t>
  </si>
  <si>
    <t>75898716-00</t>
  </si>
  <si>
    <t>Simpson 20" HVY Twist Strap</t>
  </si>
  <si>
    <t>75911676-00</t>
  </si>
  <si>
    <t xml:space="preserve">Simpson 25' 16GA Coil Strap , Simpson 20" HVY Twist Strap </t>
  </si>
  <si>
    <t>Epic Engineering</t>
  </si>
  <si>
    <t>20241735</t>
  </si>
  <si>
    <t>Shoring Plan</t>
  </si>
  <si>
    <t>20241558</t>
  </si>
  <si>
    <t>20240958</t>
  </si>
  <si>
    <t>LVT</t>
  </si>
  <si>
    <t>AR292963</t>
  </si>
  <si>
    <t>Security</t>
  </si>
  <si>
    <t>AR305106</t>
  </si>
  <si>
    <t>AR317565</t>
  </si>
  <si>
    <t>0408</t>
  </si>
  <si>
    <t>Framing Labor &amp; Material</t>
  </si>
  <si>
    <t>0407</t>
  </si>
  <si>
    <t>Evolution</t>
  </si>
  <si>
    <t>10207</t>
  </si>
  <si>
    <t>Store front pull out and reinstall</t>
  </si>
  <si>
    <t>Retention</t>
  </si>
  <si>
    <t>Balance Original Job</t>
  </si>
  <si>
    <t>994</t>
  </si>
  <si>
    <t>Fox &amp; Hound</t>
  </si>
  <si>
    <t>35170</t>
  </si>
  <si>
    <t>Wire removal from exterior walls</t>
  </si>
  <si>
    <t>35217</t>
  </si>
  <si>
    <t>Rewire Units &amp; Ser</t>
  </si>
  <si>
    <t>Keith Kap &amp; Sons Excavating</t>
  </si>
  <si>
    <t>16095</t>
  </si>
  <si>
    <t>Debris Haul Off</t>
  </si>
  <si>
    <t>Peak Fasteners, Inc.</t>
  </si>
  <si>
    <t>282760</t>
  </si>
  <si>
    <t>Hardware</t>
  </si>
  <si>
    <t>282757</t>
  </si>
  <si>
    <t>282758</t>
  </si>
  <si>
    <t>282759</t>
  </si>
  <si>
    <t>draw 9 (Sept/Oct)</t>
  </si>
  <si>
    <t>Rich Development Inc</t>
  </si>
  <si>
    <t>CMT</t>
  </si>
  <si>
    <t>Nailing Inspections</t>
  </si>
  <si>
    <t>281417</t>
  </si>
  <si>
    <t>281418</t>
  </si>
  <si>
    <t>281782</t>
  </si>
  <si>
    <t>284506</t>
  </si>
  <si>
    <t>286212</t>
  </si>
  <si>
    <t>286633</t>
  </si>
  <si>
    <t>Wheelright Lumber</t>
  </si>
  <si>
    <t>2405-126496</t>
  </si>
  <si>
    <t>Lumber</t>
  </si>
  <si>
    <t>2405-126548</t>
  </si>
  <si>
    <t>Tvek</t>
  </si>
  <si>
    <t>0434</t>
  </si>
  <si>
    <t>0435</t>
  </si>
  <si>
    <t>0476</t>
  </si>
  <si>
    <t>Elite Plumbing</t>
  </si>
  <si>
    <t>1055</t>
  </si>
  <si>
    <t>Testing T&amp;M</t>
  </si>
  <si>
    <t>10227</t>
  </si>
  <si>
    <t>Cutting Down Aluminium Frame</t>
  </si>
  <si>
    <t>Lara &amp; Sons</t>
  </si>
  <si>
    <t>1876</t>
  </si>
  <si>
    <t>Window Install</t>
  </si>
  <si>
    <t>draw 10 (Nov)</t>
  </si>
  <si>
    <t>0499</t>
  </si>
  <si>
    <t>Framing Labor &amp; Materials</t>
  </si>
  <si>
    <t>1058</t>
  </si>
  <si>
    <t>draw 11 (Dec)</t>
  </si>
  <si>
    <t>0523</t>
  </si>
  <si>
    <t>1059</t>
  </si>
  <si>
    <t>draw 13 (Feb)</t>
  </si>
  <si>
    <t>RP Framing</t>
  </si>
  <si>
    <t>1027</t>
  </si>
  <si>
    <t>Framing Fixes</t>
  </si>
  <si>
    <t>1030</t>
  </si>
  <si>
    <t>draw 13 (March)</t>
  </si>
  <si>
    <t>1032</t>
  </si>
  <si>
    <t xml:space="preserve">TOTAL SO FAR </t>
  </si>
  <si>
    <t>Retention Not Paid</t>
  </si>
  <si>
    <t>Original ML Storefront Glass</t>
  </si>
  <si>
    <t>Change Orders – Makers Line</t>
  </si>
  <si>
    <t>Change Order – Pull out and Reinstall Storefront</t>
  </si>
  <si>
    <t>Re-wire units &amp; re-pull SER</t>
  </si>
  <si>
    <t>TOTAL</t>
  </si>
  <si>
    <t>HUNTERS LANDING PAYMENTS</t>
  </si>
  <si>
    <t>T&amp;M Outside of Demo</t>
  </si>
  <si>
    <t>Change Orders</t>
  </si>
  <si>
    <t>Notes</t>
  </si>
  <si>
    <t>Items fixed due to Maker's Line issues</t>
  </si>
  <si>
    <t>Not included in original demo number</t>
  </si>
  <si>
    <t>Old Bills</t>
  </si>
  <si>
    <t>Insurance</t>
  </si>
  <si>
    <t>Select specialties</t>
  </si>
  <si>
    <t>TK ?</t>
  </si>
  <si>
    <t>track out pad,</t>
  </si>
  <si>
    <t>Not part of fixing ML work</t>
  </si>
  <si>
    <t>I don't see this in the draw.</t>
  </si>
  <si>
    <t>DRAW 3 (Feb)</t>
  </si>
  <si>
    <t>Draw 4 (April)</t>
  </si>
  <si>
    <t>Old SWPPP bills</t>
  </si>
  <si>
    <t>Draw 5 (May)</t>
  </si>
  <si>
    <t>Interior pipe fixes</t>
  </si>
  <si>
    <t>draw 6 (June)</t>
  </si>
  <si>
    <t>BOARDWALK</t>
  </si>
  <si>
    <t>Cracked Tubs</t>
  </si>
  <si>
    <t>BFS</t>
  </si>
  <si>
    <t>Simpson 25' 16GA Coil Strap , Simpson 20" HVY Twist Strap</t>
  </si>
  <si>
    <t>Unpaid balance from Maker's Line</t>
  </si>
  <si>
    <t>What is this?</t>
  </si>
  <si>
    <t>Interior Framing Fixes</t>
  </si>
  <si>
    <t>How is this not in the original scope?</t>
  </si>
  <si>
    <t>TOTAL SO FAR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</si>
</sst>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.00"/>
  </numFmts>
  <fonts count="24">
    <font>
      <sz val="11.0"/>
      <color theme="1"/>
      <name val="Aptos Narrow"/>
      <scheme val="minor"/>
    </font>
    <font>
      <b/>
      <sz val="14.0"/>
      <color theme="1"/>
      <name val="Aptos Narrow"/>
    </font>
    <font/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9.0"/>
      <color theme="1"/>
      <name val="Arial"/>
    </font>
    <font>
      <color theme="1"/>
      <name val="Arial"/>
    </font>
    <font>
      <color theme="1"/>
      <name val="Serif"/>
    </font>
    <font>
      <sz val="8.0"/>
      <color theme="1"/>
      <name val="Serif"/>
    </font>
    <font>
      <color theme="1"/>
      <name val="Aptos Narrow"/>
    </font>
    <font>
      <sz val="11.0"/>
      <color theme="1"/>
      <name val="Arial"/>
    </font>
    <font>
      <sz val="11.0"/>
      <color theme="1"/>
      <name val="Serif"/>
    </font>
    <font>
      <b/>
      <sz val="11.0"/>
      <color theme="1"/>
      <name val="Arial"/>
    </font>
    <font>
      <b/>
      <sz val="11.0"/>
      <color theme="1"/>
      <name val="Aptos Narrow"/>
    </font>
    <font>
      <b/>
      <sz val="14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&quot;Aptos Narrow&quot;"/>
    </font>
    <font>
      <sz val="9.0"/>
      <color rgb="FF000000"/>
      <name val="&quot;Aptos Narrow&quot;"/>
    </font>
    <font>
      <sz val="12.0"/>
      <color rgb="FF000000"/>
      <name val="&quot;Aptos Narrow&quot;"/>
    </font>
    <font>
      <sz val="12.0"/>
      <color rgb="FF000000"/>
      <name val="Arial"/>
    </font>
    <font>
      <sz val="9.0"/>
      <color rgb="FF000000"/>
      <name val="Arial"/>
    </font>
    <font>
      <sz val="8.0"/>
      <color rgb="FF000000"/>
      <name val="Serif"/>
    </font>
  </fonts>
  <fills count="14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FF0000"/>
      </patternFill>
    </fill>
    <fill>
      <patternFill patternType="solid">
        <fgColor rgb="FF47D45A"/>
        <bgColor rgb="FF47D45A"/>
      </patternFill>
    </fill>
    <fill>
      <patternFill patternType="solid">
        <fgColor rgb="FFD76DCC"/>
        <bgColor rgb="FFD76DCC"/>
      </patternFill>
    </fill>
    <fill>
      <patternFill patternType="solid">
        <fgColor rgb="FF95DCF7"/>
        <bgColor rgb="FF95DCF7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83CCEB"/>
        <bgColor rgb="FF83CCE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1">
    <border/>
    <border>
      <left/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3" fillId="4" fontId="3" numFmtId="0" xfId="0" applyBorder="1" applyFill="1" applyFont="1"/>
    <xf borderId="3" fillId="5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0" fillId="0" fontId="3" numFmtId="0" xfId="0" applyFont="1"/>
    <xf borderId="0" fillId="0" fontId="3" numFmtId="164" xfId="0" applyFont="1" applyNumberFormat="1"/>
    <xf borderId="0" fillId="0" fontId="4" numFmtId="164" xfId="0" applyFont="1" applyNumberFormat="1"/>
    <xf borderId="4" fillId="7" fontId="4" numFmtId="0" xfId="0" applyBorder="1" applyFill="1" applyFont="1"/>
    <xf borderId="5" fillId="0" fontId="4" numFmtId="0" xfId="0" applyBorder="1" applyFont="1"/>
    <xf borderId="5" fillId="0" fontId="4" numFmtId="164" xfId="0" applyBorder="1" applyFont="1" applyNumberFormat="1"/>
    <xf borderId="6" fillId="0" fontId="5" numFmtId="164" xfId="0" applyBorder="1" applyFont="1" applyNumberFormat="1"/>
    <xf borderId="0" fillId="0" fontId="5" numFmtId="164" xfId="0" applyFont="1" applyNumberFormat="1"/>
    <xf borderId="7" fillId="0" fontId="4" numFmtId="0" xfId="0" applyBorder="1" applyFont="1"/>
    <xf borderId="0" fillId="0" fontId="4" numFmtId="0" xfId="0" applyFont="1"/>
    <xf borderId="8" fillId="0" fontId="5" numFmtId="164" xfId="0" applyBorder="1" applyFont="1" applyNumberFormat="1"/>
    <xf borderId="8" fillId="0" fontId="4" numFmtId="164" xfId="0" applyBorder="1" applyFont="1" applyNumberFormat="1"/>
    <xf borderId="9" fillId="0" fontId="4" numFmtId="0" xfId="0" applyBorder="1" applyFont="1"/>
    <xf borderId="10" fillId="0" fontId="4" numFmtId="0" xfId="0" applyBorder="1" applyFont="1"/>
    <xf borderId="10" fillId="0" fontId="4" numFmtId="164" xfId="0" applyBorder="1" applyFont="1" applyNumberFormat="1"/>
    <xf borderId="11" fillId="0" fontId="5" numFmtId="164" xfId="0" applyBorder="1" applyFont="1" applyNumberFormat="1"/>
    <xf borderId="7" fillId="0" fontId="4" numFmtId="164" xfId="0" applyBorder="1" applyFont="1" applyNumberFormat="1"/>
    <xf borderId="9" fillId="0" fontId="4" numFmtId="164" xfId="0" applyBorder="1" applyFont="1" applyNumberFormat="1"/>
    <xf borderId="11" fillId="0" fontId="4" numFmtId="164" xfId="0" applyBorder="1" applyFont="1" applyNumberFormat="1"/>
    <xf borderId="4" fillId="7" fontId="4" numFmtId="164" xfId="0" applyBorder="1" applyFont="1" applyNumberFormat="1"/>
    <xf borderId="6" fillId="0" fontId="4" numFmtId="164" xfId="0" applyBorder="1" applyFont="1" applyNumberFormat="1"/>
    <xf borderId="4" fillId="2" fontId="4" numFmtId="164" xfId="0" applyBorder="1" applyFont="1" applyNumberFormat="1"/>
    <xf borderId="4" fillId="8" fontId="4" numFmtId="164" xfId="0" applyBorder="1" applyFill="1" applyFont="1" applyNumberFormat="1"/>
    <xf borderId="0" fillId="0" fontId="6" numFmtId="164" xfId="0" applyFont="1" applyNumberFormat="1"/>
    <xf borderId="0" fillId="0" fontId="7" numFmtId="0" xfId="0" applyFont="1"/>
    <xf borderId="4" fillId="8" fontId="6" numFmtId="164" xfId="0" applyBorder="1" applyFont="1" applyNumberFormat="1"/>
    <xf borderId="0" fillId="9" fontId="8" numFmtId="164" xfId="0" applyFill="1" applyFont="1" applyNumberFormat="1"/>
    <xf borderId="7" fillId="0" fontId="6" numFmtId="164" xfId="0" applyBorder="1" applyFont="1" applyNumberFormat="1"/>
    <xf borderId="0" fillId="0" fontId="7" numFmtId="0" xfId="0" applyAlignment="1" applyFont="1">
      <alignment horizontal="right"/>
    </xf>
    <xf borderId="0" fillId="9" fontId="9" numFmtId="164" xfId="0" applyFont="1" applyNumberFormat="1"/>
    <xf borderId="0" fillId="0" fontId="10" numFmtId="0" xfId="0" applyAlignment="1" applyFont="1">
      <alignment horizontal="right"/>
    </xf>
    <xf borderId="0" fillId="9" fontId="9" numFmtId="49" xfId="0" applyFont="1" applyNumberFormat="1"/>
    <xf borderId="0" fillId="0" fontId="4" numFmtId="49" xfId="0" applyFont="1" applyNumberFormat="1"/>
    <xf borderId="0" fillId="0" fontId="6" numFmtId="49" xfId="0" applyFont="1" applyNumberFormat="1"/>
    <xf borderId="12" fillId="0" fontId="6" numFmtId="164" xfId="0" applyBorder="1" applyFont="1" applyNumberFormat="1"/>
    <xf borderId="7" fillId="0" fontId="6" numFmtId="164" xfId="0" applyAlignment="1" applyBorder="1" applyFont="1" applyNumberFormat="1">
      <alignment horizontal="right"/>
    </xf>
    <xf borderId="12" fillId="0" fontId="4" numFmtId="164" xfId="0" applyBorder="1" applyFont="1" applyNumberFormat="1"/>
    <xf borderId="9" fillId="0" fontId="6" numFmtId="164" xfId="0" applyBorder="1" applyFont="1" applyNumberFormat="1"/>
    <xf borderId="10" fillId="0" fontId="4" numFmtId="49" xfId="0" applyBorder="1" applyFont="1" applyNumberFormat="1"/>
    <xf borderId="7" fillId="0" fontId="4" numFmtId="164" xfId="0" applyAlignment="1" applyBorder="1" applyFont="1" applyNumberFormat="1">
      <alignment horizontal="right"/>
    </xf>
    <xf borderId="7" fillId="0" fontId="6" numFmtId="164" xfId="0" applyAlignment="1" applyBorder="1" applyFont="1" applyNumberFormat="1">
      <alignment horizontal="left"/>
    </xf>
    <xf borderId="7" fillId="0" fontId="4" numFmtId="164" xfId="0" applyAlignment="1" applyBorder="1" applyFont="1" applyNumberFormat="1">
      <alignment horizontal="left"/>
    </xf>
    <xf borderId="0" fillId="10" fontId="4" numFmtId="164" xfId="0" applyFill="1" applyFont="1" applyNumberFormat="1"/>
    <xf borderId="4" fillId="8" fontId="6" numFmtId="164" xfId="0" applyAlignment="1" applyBorder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13" fillId="0" fontId="10" numFmtId="0" xfId="0" applyBorder="1" applyFont="1"/>
    <xf borderId="7" fillId="0" fontId="6" numFmtId="164" xfId="0" applyAlignment="1" applyBorder="1" applyFont="1" applyNumberFormat="1">
      <alignment vertical="bottom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9" fontId="12" numFmtId="164" xfId="0" applyAlignment="1" applyFont="1" applyNumberFormat="1">
      <alignment horizontal="right" vertical="bottom"/>
    </xf>
    <xf borderId="7" fillId="0" fontId="3" numFmtId="164" xfId="0" applyAlignment="1" applyBorder="1" applyFont="1" applyNumberFormat="1">
      <alignment vertical="bottom"/>
    </xf>
    <xf borderId="0" fillId="9" fontId="12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9" fontId="9" numFmtId="164" xfId="0" applyAlignment="1" applyFont="1" applyNumberFormat="1">
      <alignment vertical="bottom"/>
    </xf>
    <xf borderId="0" fillId="9" fontId="9" numFmtId="49" xfId="0" applyAlignment="1" applyFont="1" applyNumberFormat="1">
      <alignment vertical="bottom"/>
    </xf>
    <xf borderId="9" fillId="0" fontId="13" numFmtId="164" xfId="0" applyAlignment="1" applyBorder="1" applyFont="1" applyNumberFormat="1">
      <alignment vertical="bottom"/>
    </xf>
    <xf borderId="10" fillId="0" fontId="3" numFmtId="49" xfId="0" applyAlignment="1" applyBorder="1" applyFont="1" applyNumberFormat="1">
      <alignment vertical="bottom"/>
    </xf>
    <xf borderId="10" fillId="0" fontId="3" numFmtId="164" xfId="0" applyAlignment="1" applyBorder="1" applyFont="1" applyNumberFormat="1">
      <alignment vertical="bottom"/>
    </xf>
    <xf borderId="10" fillId="0" fontId="14" numFmtId="164" xfId="0" applyAlignment="1" applyBorder="1" applyFont="1" applyNumberFormat="1">
      <alignment vertical="bottom"/>
    </xf>
    <xf borderId="0" fillId="2" fontId="15" numFmtId="0" xfId="0" applyAlignment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0" fillId="3" fontId="16" numFmtId="0" xfId="0" applyAlignment="1" applyFont="1">
      <alignment horizontal="center" shrinkToFit="0" vertical="bottom" wrapText="0"/>
    </xf>
    <xf borderId="0" fillId="5" fontId="16" numFmtId="0" xfId="0" applyAlignment="1" applyFont="1">
      <alignment horizontal="center" shrinkToFit="0" vertical="bottom" wrapText="0"/>
    </xf>
    <xf borderId="0" fillId="6" fontId="17" numFmtId="0" xfId="0" applyAlignment="1" applyFont="1">
      <alignment horizontal="center" shrinkToFit="0" vertical="bottom" wrapText="0"/>
    </xf>
    <xf borderId="0" fillId="4" fontId="16" numFmtId="0" xfId="0" applyAlignment="1" applyFont="1">
      <alignment shrinkToFit="0" vertical="bottom" wrapText="0"/>
    </xf>
    <xf borderId="0" fillId="11" fontId="18" numFmtId="0" xfId="0" applyAlignment="1" applyFill="1" applyFont="1">
      <alignment shrinkToFit="0" vertical="bottom" wrapText="0"/>
    </xf>
    <xf borderId="0" fillId="0" fontId="17" numFmtId="0" xfId="0" applyAlignment="1" applyFont="1">
      <alignment shrinkToFit="0" vertical="bottom" wrapText="1"/>
    </xf>
    <xf borderId="14" fillId="7" fontId="19" numFmtId="0" xfId="0" applyAlignment="1" applyBorder="1" applyFont="1">
      <alignment shrinkToFit="0" vertical="bottom" wrapText="0"/>
    </xf>
    <xf borderId="15" fillId="0" fontId="19" numFmtId="0" xfId="0" applyAlignment="1" applyBorder="1" applyFont="1">
      <alignment shrinkToFit="0" vertical="bottom" wrapText="0"/>
    </xf>
    <xf borderId="16" fillId="0" fontId="20" numFmtId="0" xfId="0" applyAlignment="1" applyBorder="1" applyFont="1">
      <alignment shrinkToFit="0" vertical="bottom" wrapText="0"/>
    </xf>
    <xf borderId="16" fillId="0" fontId="19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13" fillId="0" fontId="19" numFmtId="0" xfId="0" applyAlignment="1" applyBorder="1" applyFont="1">
      <alignment shrinkToFit="0" vertical="bottom" wrapText="0"/>
    </xf>
    <xf borderId="0" fillId="0" fontId="19" numFmtId="165" xfId="0" applyAlignment="1" applyFont="1" applyNumberFormat="1">
      <alignment shrinkToFit="0" vertical="bottom" wrapText="0"/>
    </xf>
    <xf borderId="17" fillId="0" fontId="20" numFmtId="0" xfId="0" applyAlignment="1" applyBorder="1" applyFont="1">
      <alignment shrinkToFit="0" vertical="bottom" wrapText="0"/>
    </xf>
    <xf borderId="17" fillId="0" fontId="19" numFmtId="0" xfId="0" applyAlignment="1" applyBorder="1" applyFont="1">
      <alignment shrinkToFit="0" vertical="bottom" wrapText="0"/>
    </xf>
    <xf borderId="0" fillId="12" fontId="19" numFmtId="165" xfId="0" applyAlignment="1" applyFill="1" applyFont="1" applyNumberFormat="1">
      <alignment shrinkToFit="0" vertical="bottom" wrapText="0"/>
    </xf>
    <xf borderId="17" fillId="0" fontId="19" numFmtId="165" xfId="0" applyAlignment="1" applyBorder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18" fillId="0" fontId="19" numFmtId="0" xfId="0" applyAlignment="1" applyBorder="1" applyFont="1">
      <alignment shrinkToFit="0" vertical="bottom" wrapText="0"/>
    </xf>
    <xf borderId="19" fillId="0" fontId="22" numFmtId="0" xfId="0" applyAlignment="1" applyBorder="1" applyFont="1">
      <alignment readingOrder="0" shrinkToFit="0" vertical="bottom" wrapText="0"/>
    </xf>
    <xf borderId="19" fillId="0" fontId="19" numFmtId="0" xfId="0" applyAlignment="1" applyBorder="1" applyFont="1">
      <alignment shrinkToFit="0" vertical="bottom" wrapText="0"/>
    </xf>
    <xf borderId="20" fillId="0" fontId="20" numFmtId="0" xfId="0" applyAlignment="1" applyBorder="1" applyFont="1">
      <alignment shrinkToFit="0" vertical="bottom" wrapText="0"/>
    </xf>
    <xf borderId="20" fillId="0" fontId="19" numFmtId="0" xfId="0" applyAlignment="1" applyBorder="1" applyFont="1">
      <alignment shrinkToFit="0" vertical="bottom" wrapText="0"/>
    </xf>
    <xf borderId="13" fillId="0" fontId="22" numFmtId="0" xfId="0" applyAlignment="1" applyBorder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19" fillId="0" fontId="2" numFmtId="0" xfId="0" applyBorder="1" applyFont="1"/>
    <xf borderId="19" fillId="0" fontId="19" numFmtId="165" xfId="0" applyAlignment="1" applyBorder="1" applyFont="1" applyNumberFormat="1">
      <alignment shrinkToFit="0" vertical="bottom" wrapText="0"/>
    </xf>
    <xf borderId="14" fillId="2" fontId="19" numFmtId="0" xfId="0" applyAlignment="1" applyBorder="1" applyFont="1">
      <alignment shrinkToFit="0" vertical="bottom" wrapText="0"/>
    </xf>
    <xf borderId="0" fillId="13" fontId="19" numFmtId="165" xfId="0" applyAlignment="1" applyFill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14" fillId="8" fontId="19" numFmtId="0" xfId="0" applyAlignment="1" applyBorder="1" applyFont="1">
      <alignment shrinkToFit="0" vertical="bottom" wrapText="0"/>
    </xf>
    <xf borderId="14" fillId="8" fontId="22" numFmtId="0" xfId="0" applyAlignment="1" applyBorder="1" applyFont="1">
      <alignment shrinkToFit="0" vertical="bottom" wrapText="0"/>
    </xf>
    <xf borderId="0" fillId="0" fontId="17" numFmtId="0" xfId="0" applyAlignment="1" applyFont="1">
      <alignment horizontal="right"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165" xfId="0" applyAlignment="1" applyFont="1" applyNumberForma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17" fillId="0" fontId="22" numFmtId="165" xfId="0" applyAlignment="1" applyBorder="1" applyFont="1" applyNumberFormat="1">
      <alignment shrinkToFit="0" vertical="bottom" wrapText="0"/>
    </xf>
    <xf borderId="13" fillId="0" fontId="22" numFmtId="0" xfId="0" applyAlignment="1" applyBorder="1" applyFont="1">
      <alignment horizontal="right" shrinkToFit="0" vertical="bottom" wrapText="0"/>
    </xf>
    <xf borderId="17" fillId="0" fontId="22" numFmtId="0" xfId="0" applyAlignment="1" applyBorder="1" applyFont="1">
      <alignment shrinkToFit="0" vertical="bottom" wrapText="0"/>
    </xf>
    <xf borderId="0" fillId="9" fontId="23" numFmtId="0" xfId="0" applyAlignment="1" applyFont="1">
      <alignment shrinkToFit="0" vertical="bottom" wrapText="0"/>
    </xf>
    <xf borderId="0" fillId="13" fontId="22" numFmtId="165" xfId="0" applyAlignment="1" applyFont="1" applyNumberFormat="1">
      <alignment shrinkToFit="0" vertical="bottom" wrapText="0"/>
    </xf>
    <xf borderId="18" fillId="0" fontId="22" numFmtId="0" xfId="0" applyAlignment="1" applyBorder="1" applyFont="1">
      <alignment shrinkToFit="0" vertical="bottom" wrapText="0"/>
    </xf>
    <xf borderId="13" fillId="0" fontId="19" numFmtId="0" xfId="0" applyAlignment="1" applyBorder="1" applyFont="1">
      <alignment horizontal="right" shrinkToFit="0" vertical="bottom" wrapText="0"/>
    </xf>
    <xf borderId="17" fillId="0" fontId="16" numFmtId="0" xfId="0" applyAlignment="1" applyBorder="1" applyFont="1">
      <alignment shrinkToFit="0" vertical="bottom" wrapText="0"/>
    </xf>
    <xf borderId="13" fillId="0" fontId="22" numFmtId="0" xfId="0" applyAlignment="1" applyBorder="1" applyFont="1">
      <alignment horizontal="left" shrinkToFit="0" vertical="bottom" wrapText="0"/>
    </xf>
    <xf borderId="0" fillId="0" fontId="17" numFmtId="0" xfId="0" applyAlignment="1" applyFont="1">
      <alignment readingOrder="0" shrinkToFit="0" vertical="bottom" wrapText="0"/>
    </xf>
    <xf borderId="13" fillId="0" fontId="19" numFmtId="0" xfId="0" applyAlignment="1" applyBorder="1" applyFont="1">
      <alignment horizontal="left" shrinkToFit="0" vertical="bottom" wrapText="0"/>
    </xf>
    <xf borderId="0" fillId="10" fontId="19" numFmtId="0" xfId="0" applyAlignment="1" applyFont="1">
      <alignment shrinkToFit="0" vertical="bottom" wrapText="0"/>
    </xf>
    <xf borderId="0" fillId="10" fontId="19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8.63"/>
    <col customWidth="1" min="3" max="3" width="8.63"/>
    <col customWidth="1" min="4" max="4" width="34.25"/>
    <col customWidth="1" min="5" max="5" width="17.13"/>
    <col customWidth="1" min="6" max="6" width="11.13"/>
    <col customWidth="1" min="7" max="7" width="24.88"/>
    <col customWidth="1" min="8" max="8" width="14.88"/>
    <col customWidth="1" min="9" max="9" width="13.63"/>
    <col customWidth="1" min="10" max="10" width="9.63"/>
    <col customWidth="1" min="11" max="11" width="15.13"/>
    <col customWidth="1" min="12" max="12" width="10.5"/>
    <col customWidth="1" min="13" max="13" width="23.75"/>
    <col customWidth="1" min="14" max="14" width="14.38"/>
    <col customWidth="1" min="15" max="26" width="8.63"/>
  </cols>
  <sheetData>
    <row r="1" ht="14.25" customHeight="1">
      <c r="A1" s="1" t="s">
        <v>0</v>
      </c>
      <c r="B1" s="2"/>
      <c r="C1" s="2"/>
      <c r="E1" s="3" t="s">
        <v>1</v>
      </c>
      <c r="G1" s="4" t="s">
        <v>2</v>
      </c>
      <c r="H1" s="5" t="s">
        <v>3</v>
      </c>
      <c r="I1" s="6" t="s">
        <v>4</v>
      </c>
      <c r="K1" s="7"/>
      <c r="L1" s="7"/>
      <c r="M1" s="7"/>
      <c r="N1" s="7"/>
    </row>
    <row r="2" ht="14.25" customHeight="1">
      <c r="C2" s="8"/>
      <c r="D2" s="8"/>
      <c r="E2" s="8"/>
      <c r="F2" s="8"/>
      <c r="G2" s="8" t="s">
        <v>5</v>
      </c>
      <c r="H2" s="8"/>
      <c r="I2" s="8"/>
      <c r="J2" s="8"/>
      <c r="K2" s="9"/>
      <c r="L2" s="9"/>
      <c r="M2" s="9"/>
      <c r="N2" s="7"/>
    </row>
    <row r="3" ht="14.25" customHeight="1">
      <c r="A3" s="10" t="s">
        <v>6</v>
      </c>
      <c r="B3" s="11"/>
      <c r="C3" s="12"/>
      <c r="D3" s="12"/>
      <c r="E3" s="12"/>
      <c r="F3" s="12"/>
      <c r="G3" s="12"/>
      <c r="H3" s="12"/>
      <c r="I3" s="13"/>
      <c r="J3" s="14"/>
      <c r="K3" s="9"/>
      <c r="L3" s="9"/>
      <c r="M3" s="9"/>
      <c r="N3" s="7"/>
    </row>
    <row r="4" ht="14.25" customHeight="1">
      <c r="A4" s="15" t="s">
        <v>7</v>
      </c>
      <c r="B4" s="16"/>
      <c r="C4" s="9" t="s">
        <v>8</v>
      </c>
      <c r="D4" s="9"/>
      <c r="E4" s="9">
        <v>340.03</v>
      </c>
      <c r="F4" s="9"/>
      <c r="G4" s="9"/>
      <c r="H4" s="9"/>
      <c r="I4" s="17"/>
      <c r="J4" s="14"/>
      <c r="K4" s="9"/>
      <c r="L4" s="9"/>
      <c r="M4" s="9"/>
      <c r="N4" s="7"/>
    </row>
    <row r="5" ht="14.25" customHeight="1">
      <c r="A5" s="15" t="s">
        <v>7</v>
      </c>
      <c r="B5" s="16"/>
      <c r="C5" s="9" t="s">
        <v>9</v>
      </c>
      <c r="D5" s="9"/>
      <c r="E5" s="9"/>
      <c r="F5" s="9"/>
      <c r="G5" s="9">
        <v>1843.04</v>
      </c>
      <c r="H5" s="9"/>
      <c r="I5" s="17"/>
      <c r="J5" s="14"/>
      <c r="K5" s="9"/>
      <c r="L5" s="9"/>
      <c r="M5" s="9"/>
      <c r="N5" s="7"/>
    </row>
    <row r="6" ht="14.25" customHeight="1">
      <c r="A6" s="15" t="s">
        <v>10</v>
      </c>
      <c r="B6" s="16"/>
      <c r="C6" s="9" t="s">
        <v>11</v>
      </c>
      <c r="D6" s="9"/>
      <c r="E6" s="9">
        <v>80802.65</v>
      </c>
      <c r="F6" s="9"/>
      <c r="G6" s="9"/>
      <c r="H6" s="9"/>
      <c r="I6" s="17"/>
      <c r="J6" s="14"/>
      <c r="K6" s="9"/>
      <c r="L6" s="9"/>
      <c r="M6" s="9"/>
      <c r="N6" s="7"/>
    </row>
    <row r="7" ht="14.25" customHeight="1">
      <c r="A7" s="15" t="s">
        <v>12</v>
      </c>
      <c r="B7" s="16"/>
      <c r="C7" s="9" t="s">
        <v>13</v>
      </c>
      <c r="D7" s="9"/>
      <c r="E7" s="9"/>
      <c r="F7" s="9"/>
      <c r="G7" s="9"/>
      <c r="H7" s="9"/>
      <c r="I7" s="18">
        <v>12620.0</v>
      </c>
      <c r="J7" s="14"/>
      <c r="K7" s="9"/>
      <c r="L7" s="9"/>
      <c r="M7" s="9"/>
      <c r="N7" s="7"/>
    </row>
    <row r="8" ht="14.25" customHeight="1">
      <c r="A8" s="15" t="s">
        <v>7</v>
      </c>
      <c r="B8" s="16"/>
      <c r="C8" s="9" t="s">
        <v>14</v>
      </c>
      <c r="D8" s="9"/>
      <c r="E8" s="9">
        <v>25000.0</v>
      </c>
      <c r="F8" s="9"/>
      <c r="G8" s="9"/>
      <c r="H8" s="9"/>
      <c r="I8" s="17"/>
      <c r="J8" s="14"/>
      <c r="K8" s="9"/>
      <c r="L8" s="9"/>
      <c r="M8" s="9"/>
      <c r="N8" s="7"/>
    </row>
    <row r="9" ht="14.25" customHeight="1">
      <c r="A9" s="15" t="s">
        <v>15</v>
      </c>
      <c r="B9" s="16"/>
      <c r="C9" s="9" t="s">
        <v>16</v>
      </c>
      <c r="D9" s="9" t="s">
        <v>17</v>
      </c>
      <c r="E9" s="9"/>
      <c r="F9" s="9"/>
      <c r="G9" s="9">
        <v>78072.18</v>
      </c>
      <c r="H9" s="9"/>
      <c r="I9" s="17"/>
      <c r="J9" s="14"/>
      <c r="K9" s="9"/>
      <c r="L9" s="9"/>
      <c r="M9" s="9"/>
      <c r="N9" s="7"/>
    </row>
    <row r="10" ht="14.25" customHeight="1">
      <c r="A10" s="15" t="s">
        <v>18</v>
      </c>
      <c r="B10" s="16"/>
      <c r="C10" s="9" t="s">
        <v>19</v>
      </c>
      <c r="D10" s="9"/>
      <c r="E10" s="9"/>
      <c r="F10" s="9"/>
      <c r="G10" s="9">
        <v>7630.41</v>
      </c>
      <c r="H10" s="9"/>
      <c r="I10" s="17"/>
      <c r="J10" s="14"/>
      <c r="K10" s="9"/>
      <c r="L10" s="9"/>
      <c r="M10" s="9"/>
      <c r="N10" s="7"/>
    </row>
    <row r="11" ht="14.25" customHeight="1">
      <c r="A11" s="19"/>
      <c r="B11" s="20"/>
      <c r="C11" s="21"/>
      <c r="D11" s="21"/>
      <c r="E11" s="21"/>
      <c r="F11" s="21"/>
      <c r="G11" s="21"/>
      <c r="H11" s="21"/>
      <c r="I11" s="22"/>
      <c r="J11" s="14"/>
      <c r="K11" s="9"/>
      <c r="L11" s="9"/>
      <c r="M11" s="9"/>
      <c r="N11" s="7"/>
    </row>
    <row r="12" ht="14.25" customHeight="1">
      <c r="A12" s="16"/>
      <c r="B12" s="16"/>
      <c r="C12" s="9"/>
      <c r="D12" s="9"/>
      <c r="E12" s="9"/>
      <c r="F12" s="9"/>
      <c r="G12" s="9"/>
      <c r="H12" s="9"/>
      <c r="I12" s="14"/>
      <c r="J12" s="14"/>
      <c r="K12" s="9"/>
      <c r="L12" s="9"/>
      <c r="M12" s="9"/>
      <c r="N12" s="7"/>
    </row>
    <row r="13" ht="14.25" customHeight="1">
      <c r="A13" s="10" t="s">
        <v>20</v>
      </c>
      <c r="B13" s="11"/>
      <c r="C13" s="12"/>
      <c r="D13" s="12"/>
      <c r="E13" s="12"/>
      <c r="F13" s="12"/>
      <c r="G13" s="12"/>
      <c r="H13" s="12"/>
      <c r="I13" s="13"/>
      <c r="J13" s="14"/>
      <c r="K13" s="9"/>
      <c r="L13" s="9"/>
      <c r="M13" s="9"/>
      <c r="N13" s="7"/>
    </row>
    <row r="14" ht="14.25" customHeight="1">
      <c r="A14" s="15" t="s">
        <v>21</v>
      </c>
      <c r="B14" s="16"/>
      <c r="C14" s="9" t="s">
        <v>17</v>
      </c>
      <c r="D14" s="9"/>
      <c r="E14" s="9"/>
      <c r="F14" s="9"/>
      <c r="G14" s="9">
        <v>29365.25</v>
      </c>
      <c r="H14" s="9"/>
      <c r="I14" s="17"/>
      <c r="J14" s="14"/>
      <c r="K14" s="9"/>
      <c r="L14" s="9"/>
      <c r="M14" s="9"/>
      <c r="N14" s="7"/>
    </row>
    <row r="15" ht="14.25" customHeight="1">
      <c r="A15" s="23" t="s">
        <v>22</v>
      </c>
      <c r="B15" s="9"/>
      <c r="C15" s="9" t="s">
        <v>17</v>
      </c>
      <c r="D15" s="9"/>
      <c r="E15" s="9"/>
      <c r="F15" s="9"/>
      <c r="G15" s="9">
        <v>96853.21</v>
      </c>
      <c r="H15" s="9"/>
      <c r="I15" s="17"/>
      <c r="J15" s="14"/>
      <c r="K15" s="9"/>
      <c r="L15" s="9"/>
      <c r="M15" s="9"/>
    </row>
    <row r="16" ht="14.25" customHeight="1">
      <c r="A16" s="23" t="s">
        <v>23</v>
      </c>
      <c r="B16" s="9"/>
      <c r="C16" s="9" t="s">
        <v>17</v>
      </c>
      <c r="D16" s="9"/>
      <c r="E16" s="9"/>
      <c r="F16" s="9"/>
      <c r="G16" s="9">
        <v>8998.17</v>
      </c>
      <c r="H16" s="9"/>
      <c r="I16" s="17"/>
      <c r="J16" s="14"/>
      <c r="K16" s="14"/>
      <c r="L16" s="14"/>
      <c r="M16" s="14"/>
    </row>
    <row r="17" ht="14.25" customHeight="1">
      <c r="A17" s="23" t="s">
        <v>24</v>
      </c>
      <c r="B17" s="9"/>
      <c r="C17" s="9" t="s">
        <v>17</v>
      </c>
      <c r="D17" s="9"/>
      <c r="E17" s="9"/>
      <c r="F17" s="9"/>
      <c r="G17" s="9">
        <v>4601.25</v>
      </c>
      <c r="H17" s="9"/>
      <c r="I17" s="17"/>
      <c r="J17" s="14"/>
      <c r="K17" s="14"/>
      <c r="L17" s="14"/>
      <c r="M17" s="14"/>
      <c r="N17" s="7"/>
    </row>
    <row r="18" ht="14.25" customHeight="1">
      <c r="A18" s="23" t="s">
        <v>25</v>
      </c>
      <c r="B18" s="9"/>
      <c r="C18" s="9" t="s">
        <v>17</v>
      </c>
      <c r="D18" s="9"/>
      <c r="E18" s="9"/>
      <c r="F18" s="9"/>
      <c r="G18" s="9">
        <v>37120.44</v>
      </c>
      <c r="H18" s="9"/>
      <c r="I18" s="17"/>
      <c r="J18" s="14"/>
      <c r="K18" s="14"/>
      <c r="L18" s="14"/>
      <c r="M18" s="14"/>
      <c r="N18" s="7"/>
    </row>
    <row r="19" ht="14.25" customHeight="1">
      <c r="A19" s="23" t="s">
        <v>7</v>
      </c>
      <c r="B19" s="9"/>
      <c r="C19" s="9" t="s">
        <v>26</v>
      </c>
      <c r="D19" s="9"/>
      <c r="E19" s="9">
        <v>22708.06</v>
      </c>
      <c r="F19" s="9"/>
      <c r="G19" s="9"/>
      <c r="H19" s="9"/>
      <c r="I19" s="17"/>
      <c r="J19" s="14"/>
      <c r="K19" s="14"/>
      <c r="L19" s="14"/>
      <c r="M19" s="8"/>
      <c r="N19" s="7"/>
    </row>
    <row r="20" ht="14.25" customHeight="1">
      <c r="A20" s="23" t="s">
        <v>27</v>
      </c>
      <c r="B20" s="9"/>
      <c r="C20" s="9" t="s">
        <v>28</v>
      </c>
      <c r="D20" s="9"/>
      <c r="E20" s="9"/>
      <c r="F20" s="9"/>
      <c r="G20" s="9">
        <v>61154.15</v>
      </c>
      <c r="H20" s="9"/>
      <c r="I20" s="17"/>
      <c r="J20" s="14"/>
      <c r="K20" s="14"/>
      <c r="L20" s="14"/>
      <c r="M20" s="8"/>
      <c r="N20" s="7"/>
    </row>
    <row r="21" ht="14.25" customHeight="1">
      <c r="A21" s="23" t="s">
        <v>29</v>
      </c>
      <c r="B21" s="9"/>
      <c r="C21" s="9" t="s">
        <v>30</v>
      </c>
      <c r="D21" s="9"/>
      <c r="E21" s="9"/>
      <c r="F21" s="9"/>
      <c r="G21" s="9">
        <v>82535.5</v>
      </c>
      <c r="H21" s="9"/>
      <c r="I21" s="18"/>
      <c r="J21" s="9"/>
      <c r="K21" s="9"/>
      <c r="L21" s="9"/>
      <c r="M21" s="9"/>
      <c r="N21" s="7"/>
    </row>
    <row r="22" ht="14.25" customHeight="1">
      <c r="A22" s="24" t="s">
        <v>7</v>
      </c>
      <c r="B22" s="21"/>
      <c r="C22" s="21" t="s">
        <v>31</v>
      </c>
      <c r="D22" s="21"/>
      <c r="E22" s="21">
        <v>40990.84</v>
      </c>
      <c r="F22" s="21"/>
      <c r="G22" s="21"/>
      <c r="H22" s="21"/>
      <c r="I22" s="25"/>
      <c r="J22" s="9"/>
      <c r="K22" s="9"/>
      <c r="L22" s="9"/>
      <c r="M22" s="9"/>
      <c r="N22" s="7"/>
    </row>
    <row r="23" ht="14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7"/>
    </row>
    <row r="24" ht="14.25" customHeight="1">
      <c r="A24" s="26" t="s">
        <v>32</v>
      </c>
      <c r="B24" s="12"/>
      <c r="C24" s="12"/>
      <c r="D24" s="12"/>
      <c r="E24" s="12"/>
      <c r="F24" s="12"/>
      <c r="G24" s="12"/>
      <c r="H24" s="12"/>
      <c r="I24" s="27"/>
      <c r="J24" s="9"/>
      <c r="K24" s="9"/>
      <c r="L24" s="9"/>
      <c r="M24" s="9"/>
      <c r="N24" s="7"/>
    </row>
    <row r="25" ht="14.25" customHeight="1">
      <c r="A25" s="23" t="s">
        <v>10</v>
      </c>
      <c r="B25" s="9"/>
      <c r="C25" s="9" t="s">
        <v>33</v>
      </c>
      <c r="D25" s="9"/>
      <c r="E25" s="9">
        <v>201669.64</v>
      </c>
      <c r="F25" s="9"/>
      <c r="G25" s="9"/>
      <c r="H25" s="9"/>
      <c r="I25" s="18"/>
      <c r="J25" s="9"/>
      <c r="K25" s="9"/>
      <c r="L25" s="9"/>
      <c r="M25" s="9"/>
      <c r="N25" s="7"/>
    </row>
    <row r="26" ht="14.25" customHeight="1">
      <c r="A26" s="23" t="s">
        <v>12</v>
      </c>
      <c r="B26" s="9"/>
      <c r="C26" s="9" t="s">
        <v>34</v>
      </c>
      <c r="D26" s="9"/>
      <c r="E26" s="9"/>
      <c r="F26" s="9"/>
      <c r="G26" s="9"/>
      <c r="H26" s="9"/>
      <c r="I26" s="18">
        <v>3389.26</v>
      </c>
      <c r="J26" s="9"/>
      <c r="K26" s="9"/>
      <c r="L26" s="9"/>
      <c r="M26" s="9"/>
      <c r="N26" s="7"/>
    </row>
    <row r="27" ht="14.25" customHeight="1">
      <c r="A27" s="23" t="s">
        <v>35</v>
      </c>
      <c r="B27" s="9"/>
      <c r="C27" s="9" t="s">
        <v>36</v>
      </c>
      <c r="D27" s="9"/>
      <c r="E27" s="9">
        <v>11.13</v>
      </c>
      <c r="F27" s="9"/>
      <c r="G27" s="9"/>
      <c r="H27" s="9"/>
      <c r="I27" s="18"/>
      <c r="J27" s="9"/>
      <c r="K27" s="9"/>
      <c r="L27" s="9"/>
      <c r="M27" s="9"/>
      <c r="N27" s="7"/>
    </row>
    <row r="28" ht="14.25" customHeight="1">
      <c r="A28" s="23" t="s">
        <v>7</v>
      </c>
      <c r="B28" s="9"/>
      <c r="C28" s="9" t="s">
        <v>37</v>
      </c>
      <c r="D28" s="9"/>
      <c r="E28" s="9">
        <v>14534.2</v>
      </c>
      <c r="F28" s="9"/>
      <c r="G28" s="9"/>
      <c r="H28" s="9"/>
      <c r="I28" s="18"/>
      <c r="J28" s="9"/>
      <c r="K28" s="9"/>
      <c r="L28" s="9"/>
      <c r="M28" s="9"/>
      <c r="N28" s="7"/>
    </row>
    <row r="29" ht="14.25" customHeight="1">
      <c r="A29" s="23" t="s">
        <v>38</v>
      </c>
      <c r="B29" s="9"/>
      <c r="C29" s="9" t="s">
        <v>39</v>
      </c>
      <c r="D29" s="9"/>
      <c r="E29" s="9"/>
      <c r="F29" s="9"/>
      <c r="G29" s="9">
        <v>205000.0</v>
      </c>
      <c r="H29" s="9"/>
      <c r="I29" s="18"/>
      <c r="J29" s="9"/>
      <c r="K29" s="9"/>
      <c r="L29" s="9"/>
      <c r="M29" s="9"/>
      <c r="N29" s="7"/>
    </row>
    <row r="30" ht="14.25" customHeight="1">
      <c r="A30" s="24" t="s">
        <v>7</v>
      </c>
      <c r="B30" s="21"/>
      <c r="C30" s="21" t="s">
        <v>26</v>
      </c>
      <c r="D30" s="21"/>
      <c r="E30" s="21">
        <v>20000.0</v>
      </c>
      <c r="F30" s="21"/>
      <c r="G30" s="21"/>
      <c r="H30" s="21"/>
      <c r="I30" s="25"/>
      <c r="J30" s="9"/>
      <c r="K30" s="9"/>
      <c r="L30" s="9"/>
      <c r="M30" s="9"/>
      <c r="N30" s="7"/>
    </row>
    <row r="31" ht="14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7"/>
    </row>
    <row r="32" ht="14.25" customHeight="1">
      <c r="A32" s="26" t="s">
        <v>40</v>
      </c>
      <c r="B32" s="12"/>
      <c r="C32" s="12"/>
      <c r="D32" s="12"/>
      <c r="E32" s="12"/>
      <c r="F32" s="12"/>
      <c r="G32" s="12"/>
      <c r="H32" s="12"/>
      <c r="I32" s="27"/>
      <c r="J32" s="9"/>
      <c r="K32" s="9"/>
      <c r="L32" s="9"/>
      <c r="M32" s="9"/>
      <c r="N32" s="7"/>
    </row>
    <row r="33" ht="14.25" customHeight="1">
      <c r="A33" s="23" t="s">
        <v>10</v>
      </c>
      <c r="B33" s="9"/>
      <c r="C33" s="9" t="s">
        <v>41</v>
      </c>
      <c r="D33" s="9"/>
      <c r="E33" s="9">
        <v>317608.99</v>
      </c>
      <c r="F33" s="9"/>
      <c r="G33" s="9"/>
      <c r="H33" s="9"/>
      <c r="I33" s="18"/>
      <c r="J33" s="9"/>
      <c r="K33" s="9"/>
      <c r="L33" s="9"/>
      <c r="M33" s="9"/>
      <c r="N33" s="7"/>
    </row>
    <row r="34" ht="14.25" customHeight="1">
      <c r="A34" s="23" t="s">
        <v>7</v>
      </c>
      <c r="B34" s="9"/>
      <c r="C34" s="9" t="s">
        <v>37</v>
      </c>
      <c r="D34" s="9"/>
      <c r="E34" s="9">
        <v>34419.09</v>
      </c>
      <c r="F34" s="9"/>
      <c r="G34" s="9"/>
      <c r="H34" s="9"/>
      <c r="I34" s="18"/>
      <c r="J34" s="9"/>
      <c r="K34" s="9"/>
      <c r="L34" s="9"/>
      <c r="M34" s="9"/>
      <c r="N34" s="7"/>
    </row>
    <row r="35" ht="14.25" customHeight="1">
      <c r="A35" s="23" t="s">
        <v>7</v>
      </c>
      <c r="B35" s="9"/>
      <c r="C35" s="9" t="s">
        <v>42</v>
      </c>
      <c r="D35" s="9"/>
      <c r="E35" s="9">
        <v>273.57</v>
      </c>
      <c r="F35" s="9"/>
      <c r="G35" s="9"/>
      <c r="H35" s="9"/>
      <c r="I35" s="18"/>
      <c r="J35" s="9"/>
      <c r="K35" s="9"/>
      <c r="L35" s="9"/>
      <c r="M35" s="9"/>
      <c r="N35" s="7"/>
    </row>
    <row r="36" ht="14.25" customHeight="1">
      <c r="A36" s="23" t="s">
        <v>43</v>
      </c>
      <c r="B36" s="9"/>
      <c r="C36" s="9" t="s">
        <v>44</v>
      </c>
      <c r="D36" s="9"/>
      <c r="E36" s="9">
        <v>86278.52</v>
      </c>
      <c r="F36" s="9"/>
      <c r="G36" s="9"/>
      <c r="H36" s="9"/>
      <c r="I36" s="18"/>
      <c r="J36" s="9"/>
      <c r="K36" s="9"/>
      <c r="L36" s="9"/>
      <c r="M36" s="9"/>
      <c r="N36" s="7"/>
    </row>
    <row r="37" ht="14.25" customHeight="1">
      <c r="A37" s="23" t="s">
        <v>35</v>
      </c>
      <c r="B37" s="9"/>
      <c r="C37" s="9" t="s">
        <v>45</v>
      </c>
      <c r="D37" s="9"/>
      <c r="E37" s="9">
        <v>22.39</v>
      </c>
      <c r="F37" s="9"/>
      <c r="G37" s="9"/>
      <c r="H37" s="9"/>
      <c r="I37" s="18"/>
      <c r="J37" s="9"/>
      <c r="K37" s="9"/>
      <c r="L37" s="9"/>
      <c r="M37" s="9"/>
      <c r="N37" s="7"/>
    </row>
    <row r="38" ht="14.25" customHeight="1">
      <c r="A38" s="23" t="s">
        <v>12</v>
      </c>
      <c r="B38" s="9"/>
      <c r="C38" s="9" t="s">
        <v>34</v>
      </c>
      <c r="D38" s="9"/>
      <c r="E38" s="9"/>
      <c r="F38" s="9"/>
      <c r="G38" s="9"/>
      <c r="H38" s="9"/>
      <c r="I38" s="18">
        <v>2023.75</v>
      </c>
      <c r="J38" s="9"/>
      <c r="K38" s="9"/>
      <c r="L38" s="9"/>
      <c r="M38" s="9"/>
    </row>
    <row r="39" ht="14.25" customHeight="1">
      <c r="A39" s="23" t="s">
        <v>46</v>
      </c>
      <c r="B39" s="9"/>
      <c r="C39" s="9"/>
      <c r="D39" s="9"/>
      <c r="E39" s="9">
        <v>999.26</v>
      </c>
      <c r="F39" s="9"/>
      <c r="G39" s="9"/>
      <c r="H39" s="9"/>
      <c r="I39" s="18"/>
      <c r="J39" s="9"/>
      <c r="K39" s="9"/>
      <c r="L39" s="9"/>
      <c r="M39" s="9"/>
    </row>
    <row r="40" ht="14.25" customHeight="1">
      <c r="A40" s="23" t="s">
        <v>47</v>
      </c>
      <c r="B40" s="9"/>
      <c r="C40" s="9" t="s">
        <v>48</v>
      </c>
      <c r="D40" s="9"/>
      <c r="E40" s="9">
        <v>19001.02</v>
      </c>
      <c r="F40" s="9"/>
      <c r="G40" s="9"/>
      <c r="H40" s="9"/>
      <c r="I40" s="18"/>
      <c r="J40" s="9"/>
      <c r="K40" s="9"/>
      <c r="L40" s="9"/>
      <c r="M40" s="9"/>
    </row>
    <row r="41" ht="14.25" customHeight="1">
      <c r="A41" s="23" t="s">
        <v>47</v>
      </c>
      <c r="B41" s="9"/>
      <c r="C41" s="9" t="s">
        <v>26</v>
      </c>
      <c r="D41" s="9"/>
      <c r="E41" s="9">
        <v>26272.83</v>
      </c>
      <c r="F41" s="9"/>
      <c r="G41" s="9"/>
      <c r="H41" s="9"/>
      <c r="I41" s="18"/>
      <c r="J41" s="9"/>
      <c r="K41" s="9"/>
      <c r="L41" s="9"/>
      <c r="M41" s="9"/>
    </row>
    <row r="42" ht="14.25" customHeight="1">
      <c r="A42" s="24" t="s">
        <v>49</v>
      </c>
      <c r="B42" s="21"/>
      <c r="C42" s="21" t="s">
        <v>50</v>
      </c>
      <c r="D42" s="21"/>
      <c r="E42" s="21"/>
      <c r="F42" s="21"/>
      <c r="G42" s="21">
        <v>11725.0</v>
      </c>
      <c r="H42" s="21"/>
      <c r="I42" s="25"/>
      <c r="J42" s="9"/>
      <c r="K42" s="9"/>
      <c r="L42" s="9"/>
      <c r="M42" s="9"/>
    </row>
    <row r="43" ht="14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ht="14.25" customHeight="1">
      <c r="A44" s="28" t="s">
        <v>51</v>
      </c>
      <c r="B44" s="12"/>
      <c r="C44" s="12"/>
      <c r="D44" s="12"/>
      <c r="E44" s="12"/>
      <c r="F44" s="12"/>
      <c r="G44" s="12"/>
      <c r="H44" s="12"/>
      <c r="I44" s="27"/>
      <c r="J44" s="9"/>
      <c r="K44" s="9"/>
      <c r="L44" s="9"/>
      <c r="M44" s="9"/>
    </row>
    <row r="45" ht="14.25" customHeight="1">
      <c r="A45" s="23" t="s">
        <v>10</v>
      </c>
      <c r="B45" s="9"/>
      <c r="C45" s="9" t="s">
        <v>41</v>
      </c>
      <c r="D45" s="9"/>
      <c r="E45" s="9">
        <v>302190.2</v>
      </c>
      <c r="F45" s="9"/>
      <c r="G45" s="9"/>
      <c r="H45" s="9"/>
      <c r="I45" s="18"/>
      <c r="J45" s="9"/>
      <c r="K45" s="9"/>
      <c r="L45" s="9"/>
      <c r="M45" s="9"/>
    </row>
    <row r="46" ht="14.25" customHeight="1">
      <c r="A46" s="23" t="s">
        <v>7</v>
      </c>
      <c r="B46" s="9"/>
      <c r="C46" s="9" t="s">
        <v>52</v>
      </c>
      <c r="D46" s="9"/>
      <c r="E46" s="9">
        <v>103785.27</v>
      </c>
      <c r="F46" s="9"/>
      <c r="G46" s="9"/>
      <c r="H46" s="9"/>
      <c r="I46" s="18"/>
      <c r="J46" s="9"/>
      <c r="K46" s="9"/>
      <c r="L46" s="9"/>
      <c r="M46" s="9"/>
    </row>
    <row r="47" ht="14.25" customHeight="1">
      <c r="A47" s="23" t="s">
        <v>7</v>
      </c>
      <c r="B47" s="9"/>
      <c r="C47" s="9" t="s">
        <v>26</v>
      </c>
      <c r="D47" s="9"/>
      <c r="E47" s="9">
        <v>26365.15</v>
      </c>
      <c r="F47" s="9"/>
      <c r="G47" s="9"/>
      <c r="H47" s="9"/>
      <c r="I47" s="18"/>
      <c r="J47" s="9"/>
      <c r="K47" s="9"/>
      <c r="L47" s="9"/>
      <c r="M47" s="9"/>
    </row>
    <row r="48" ht="14.25" customHeight="1">
      <c r="A48" s="23" t="s">
        <v>43</v>
      </c>
      <c r="B48" s="9"/>
      <c r="C48" s="9" t="s">
        <v>53</v>
      </c>
      <c r="D48" s="9"/>
      <c r="E48" s="9">
        <v>34120.0</v>
      </c>
      <c r="F48" s="9"/>
      <c r="G48" s="9"/>
      <c r="H48" s="9"/>
      <c r="I48" s="18"/>
      <c r="J48" s="9"/>
      <c r="K48" s="9"/>
      <c r="L48" s="9"/>
      <c r="M48" s="9"/>
    </row>
    <row r="49" ht="14.25" customHeight="1">
      <c r="A49" s="23" t="s">
        <v>54</v>
      </c>
      <c r="B49" s="9"/>
      <c r="C49" s="9"/>
      <c r="D49" s="9"/>
      <c r="E49" s="9"/>
      <c r="F49" s="9"/>
      <c r="G49" s="9">
        <v>68440.0</v>
      </c>
      <c r="H49" s="9">
        <v>19125.0</v>
      </c>
      <c r="I49" s="18"/>
      <c r="J49" s="9"/>
      <c r="K49" s="9"/>
      <c r="L49" s="9"/>
      <c r="M49" s="9"/>
    </row>
    <row r="50" ht="14.25" customHeight="1">
      <c r="A50" s="24" t="s">
        <v>55</v>
      </c>
      <c r="B50" s="21"/>
      <c r="C50" s="21"/>
      <c r="D50" s="21"/>
      <c r="E50" s="21">
        <v>605.0</v>
      </c>
      <c r="F50" s="21"/>
      <c r="G50" s="21"/>
      <c r="H50" s="21"/>
      <c r="I50" s="25"/>
      <c r="J50" s="9"/>
      <c r="K50" s="9"/>
      <c r="L50" s="9"/>
      <c r="M50" s="9"/>
    </row>
    <row r="51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ht="14.25" customHeight="1">
      <c r="A52" s="28" t="s">
        <v>56</v>
      </c>
      <c r="B52" s="12"/>
      <c r="C52" s="12"/>
      <c r="D52" s="12"/>
      <c r="E52" s="12"/>
      <c r="F52" s="12"/>
      <c r="G52" s="12"/>
      <c r="H52" s="12"/>
      <c r="I52" s="27"/>
      <c r="J52" s="9"/>
      <c r="K52" s="9"/>
      <c r="L52" s="9"/>
      <c r="M52" s="9"/>
    </row>
    <row r="53" ht="14.25" customHeight="1">
      <c r="A53" s="23" t="s">
        <v>57</v>
      </c>
      <c r="B53" s="9"/>
      <c r="C53" s="9" t="s">
        <v>58</v>
      </c>
      <c r="D53" s="9"/>
      <c r="E53" s="9">
        <v>643399.5</v>
      </c>
      <c r="F53" s="9"/>
      <c r="G53" s="9"/>
      <c r="H53" s="9"/>
      <c r="I53" s="18"/>
      <c r="J53" s="9"/>
      <c r="K53" s="9"/>
      <c r="L53" s="9"/>
      <c r="M53" s="9"/>
    </row>
    <row r="54" ht="14.25" customHeight="1">
      <c r="A54" s="23" t="s">
        <v>57</v>
      </c>
      <c r="B54" s="9"/>
      <c r="C54" s="9" t="s">
        <v>59</v>
      </c>
      <c r="D54" s="9"/>
      <c r="E54" s="9">
        <v>204106.45</v>
      </c>
      <c r="F54" s="9"/>
      <c r="G54" s="9"/>
      <c r="H54" s="9"/>
      <c r="I54" s="18"/>
      <c r="J54" s="9"/>
      <c r="K54" s="9"/>
      <c r="L54" s="9"/>
      <c r="M54" s="9"/>
    </row>
    <row r="55" ht="14.25" customHeight="1">
      <c r="A55" s="23" t="s">
        <v>60</v>
      </c>
      <c r="B55" s="9"/>
      <c r="C55" s="9" t="s">
        <v>61</v>
      </c>
      <c r="D55" s="9"/>
      <c r="E55" s="9">
        <v>26672.04</v>
      </c>
      <c r="F55" s="9"/>
      <c r="G55" s="9"/>
      <c r="H55" s="9"/>
      <c r="I55" s="18"/>
      <c r="J55" s="9"/>
      <c r="K55" s="9"/>
      <c r="L55" s="9"/>
      <c r="M55" s="9"/>
    </row>
    <row r="56" ht="14.25" customHeight="1">
      <c r="A56" s="23" t="s">
        <v>62</v>
      </c>
      <c r="B56" s="9"/>
      <c r="C56" s="9" t="s">
        <v>63</v>
      </c>
      <c r="D56" s="9"/>
      <c r="E56" s="9"/>
      <c r="F56" s="9"/>
      <c r="G56" s="9"/>
      <c r="H56" s="9">
        <v>34646.0</v>
      </c>
      <c r="I56" s="18"/>
      <c r="J56" s="9"/>
      <c r="K56" s="9"/>
      <c r="L56" s="9"/>
      <c r="M56" s="9"/>
      <c r="N56" s="8"/>
      <c r="O56" s="8"/>
      <c r="P56" s="8"/>
      <c r="Q56" s="8"/>
      <c r="R56" s="8"/>
      <c r="S56" s="8"/>
      <c r="T56" s="8"/>
      <c r="U56" s="8"/>
    </row>
    <row r="57" ht="14.25" customHeight="1">
      <c r="A57" s="23" t="s">
        <v>55</v>
      </c>
      <c r="B57" s="9"/>
      <c r="C57" s="9"/>
      <c r="D57" s="9"/>
      <c r="E57" s="9">
        <v>450.0</v>
      </c>
      <c r="F57" s="9"/>
      <c r="G57" s="9"/>
      <c r="H57" s="9"/>
      <c r="I57" s="1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4.25" customHeight="1">
      <c r="A58" s="23" t="s">
        <v>64</v>
      </c>
      <c r="B58" s="9"/>
      <c r="C58" s="9" t="s">
        <v>65</v>
      </c>
      <c r="D58" s="9"/>
      <c r="E58" s="9">
        <v>4000.0</v>
      </c>
      <c r="F58" s="9"/>
      <c r="G58" s="9"/>
      <c r="H58" s="9"/>
      <c r="I58" s="18"/>
      <c r="J58" s="9"/>
      <c r="K58" s="9"/>
      <c r="L58" s="9"/>
      <c r="M58" s="9"/>
      <c r="N58" s="8"/>
      <c r="O58" s="8"/>
      <c r="P58" s="8"/>
      <c r="Q58" s="8"/>
      <c r="R58" s="8"/>
      <c r="S58" s="8"/>
      <c r="T58" s="8"/>
      <c r="U58" s="8"/>
    </row>
    <row r="59" ht="14.25" customHeight="1">
      <c r="A59" s="23"/>
      <c r="B59" s="9"/>
      <c r="C59" s="9"/>
      <c r="D59" s="9"/>
      <c r="E59" s="9"/>
      <c r="F59" s="9"/>
      <c r="G59" s="9"/>
      <c r="H59" s="9"/>
      <c r="I59" s="18"/>
      <c r="J59" s="9"/>
      <c r="K59" s="9"/>
      <c r="L59" s="9"/>
      <c r="M59" s="9"/>
      <c r="N59" s="8"/>
      <c r="O59" s="8"/>
      <c r="P59" s="8"/>
      <c r="Q59" s="8"/>
      <c r="R59" s="8"/>
      <c r="S59" s="8"/>
      <c r="T59" s="8"/>
      <c r="U59" s="8"/>
    </row>
    <row r="60" ht="14.25" customHeight="1">
      <c r="A60" s="23"/>
      <c r="B60" s="9"/>
      <c r="C60" s="9"/>
      <c r="D60" s="9"/>
      <c r="E60" s="9"/>
      <c r="F60" s="9"/>
      <c r="G60" s="9"/>
      <c r="H60" s="9"/>
      <c r="I60" s="18"/>
      <c r="J60" s="9"/>
      <c r="K60" s="9"/>
      <c r="L60" s="9"/>
      <c r="M60" s="9"/>
      <c r="N60" s="8"/>
      <c r="O60" s="8"/>
      <c r="P60" s="8"/>
      <c r="Q60" s="8"/>
      <c r="R60" s="8"/>
      <c r="S60" s="8"/>
      <c r="T60" s="8"/>
      <c r="U60" s="8"/>
    </row>
    <row r="61" ht="14.25" customHeight="1">
      <c r="A61" s="24"/>
      <c r="B61" s="21"/>
      <c r="C61" s="21"/>
      <c r="D61" s="21"/>
      <c r="E61" s="21"/>
      <c r="F61" s="21"/>
      <c r="G61" s="21"/>
      <c r="H61" s="21"/>
      <c r="I61" s="25"/>
      <c r="J61" s="9"/>
      <c r="K61" s="9"/>
      <c r="L61" s="9"/>
      <c r="M61" s="9"/>
      <c r="N61" s="8"/>
      <c r="O61" s="8"/>
      <c r="P61" s="8"/>
      <c r="Q61" s="8"/>
      <c r="R61" s="8"/>
      <c r="S61" s="8"/>
      <c r="T61" s="8"/>
      <c r="U61" s="8"/>
    </row>
    <row r="62" ht="14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8"/>
      <c r="O62" s="8"/>
      <c r="P62" s="8"/>
      <c r="Q62" s="8"/>
      <c r="R62" s="8"/>
      <c r="S62" s="8"/>
      <c r="T62" s="8"/>
      <c r="U62" s="8"/>
    </row>
    <row r="63" ht="14.25" customHeight="1">
      <c r="A63" s="29" t="s">
        <v>66</v>
      </c>
      <c r="B63" s="12"/>
      <c r="C63" s="12"/>
      <c r="D63" s="12"/>
      <c r="E63" s="12"/>
      <c r="F63" s="12"/>
      <c r="G63" s="12"/>
      <c r="H63" s="12"/>
      <c r="I63" s="27"/>
      <c r="J63" s="9"/>
      <c r="K63" s="9"/>
      <c r="L63" s="9"/>
      <c r="M63" s="9"/>
      <c r="N63" s="8"/>
      <c r="O63" s="8"/>
      <c r="P63" s="8"/>
      <c r="Q63" s="8"/>
      <c r="R63" s="8"/>
      <c r="S63" s="8"/>
      <c r="T63" s="8"/>
      <c r="U63" s="8"/>
    </row>
    <row r="64" ht="14.25" customHeight="1">
      <c r="A64" s="23" t="s">
        <v>67</v>
      </c>
      <c r="B64" s="9"/>
      <c r="C64" s="9" t="s">
        <v>68</v>
      </c>
      <c r="D64" s="9"/>
      <c r="E64" s="9">
        <v>12332.97</v>
      </c>
      <c r="F64" s="9"/>
      <c r="G64" s="9"/>
      <c r="H64" s="9"/>
      <c r="I64" s="18"/>
      <c r="J64" s="9"/>
      <c r="K64" s="9"/>
      <c r="L64" s="9"/>
      <c r="M64" s="9"/>
      <c r="N64" s="8"/>
      <c r="O64" s="8"/>
      <c r="P64" s="8"/>
      <c r="Q64" s="8"/>
      <c r="R64" s="8"/>
      <c r="S64" s="8"/>
      <c r="T64" s="8"/>
      <c r="U64" s="8"/>
    </row>
    <row r="65" ht="14.25" customHeight="1">
      <c r="A65" s="23" t="s">
        <v>69</v>
      </c>
      <c r="B65" s="9"/>
      <c r="C65" s="9" t="s">
        <v>70</v>
      </c>
      <c r="D65" s="9"/>
      <c r="E65" s="9"/>
      <c r="F65" s="9"/>
      <c r="G65" s="9"/>
      <c r="H65" s="9">
        <v>14680.67</v>
      </c>
      <c r="I65" s="18"/>
      <c r="J65" s="9"/>
      <c r="K65" s="9"/>
      <c r="L65" s="9"/>
      <c r="M65" s="9"/>
      <c r="N65" s="8"/>
      <c r="O65" s="8"/>
      <c r="P65" s="8"/>
      <c r="Q65" s="8"/>
      <c r="R65" s="8"/>
      <c r="S65" s="8"/>
      <c r="T65" s="8"/>
      <c r="U65" s="8"/>
    </row>
    <row r="66" ht="14.25" customHeight="1">
      <c r="A66" s="23" t="s">
        <v>69</v>
      </c>
      <c r="B66" s="9"/>
      <c r="C66" s="9" t="s">
        <v>71</v>
      </c>
      <c r="D66" s="9"/>
      <c r="E66" s="9"/>
      <c r="F66" s="9"/>
      <c r="G66" s="9">
        <v>7000.0</v>
      </c>
      <c r="H66" s="9"/>
      <c r="I66" s="18"/>
      <c r="J66" s="9"/>
      <c r="K66" s="9"/>
      <c r="L66" s="9"/>
      <c r="M66" s="9"/>
      <c r="N66" s="8"/>
      <c r="O66" s="8"/>
      <c r="P66" s="8"/>
      <c r="Q66" s="8"/>
      <c r="R66" s="8"/>
      <c r="S66" s="8"/>
      <c r="T66" s="8"/>
      <c r="U66" s="8"/>
    </row>
    <row r="67" ht="14.25" customHeight="1">
      <c r="A67" s="23" t="s">
        <v>10</v>
      </c>
      <c r="B67" s="9"/>
      <c r="C67" s="9" t="s">
        <v>72</v>
      </c>
      <c r="D67" s="9"/>
      <c r="E67" s="9">
        <v>346987.0</v>
      </c>
      <c r="F67" s="9"/>
      <c r="G67" s="9"/>
      <c r="H67" s="9"/>
      <c r="I67" s="18"/>
      <c r="J67" s="9"/>
      <c r="K67" s="9"/>
      <c r="L67" s="9"/>
      <c r="M67" s="9"/>
      <c r="N67" s="8"/>
      <c r="O67" s="8"/>
      <c r="P67" s="8"/>
      <c r="Q67" s="8"/>
      <c r="R67" s="8"/>
      <c r="S67" s="8"/>
      <c r="T67" s="8"/>
      <c r="U67" s="8"/>
    </row>
    <row r="68" ht="14.25" customHeight="1">
      <c r="A68" s="23" t="s">
        <v>73</v>
      </c>
      <c r="B68" s="9"/>
      <c r="C68" s="9" t="s">
        <v>74</v>
      </c>
      <c r="D68" s="9"/>
      <c r="E68" s="9"/>
      <c r="F68" s="9"/>
      <c r="G68" s="9">
        <v>123873.0</v>
      </c>
      <c r="H68" s="9"/>
      <c r="I68" s="18"/>
      <c r="J68" s="9"/>
      <c r="K68" s="9"/>
      <c r="L68" s="9"/>
      <c r="M68" s="9"/>
      <c r="N68" s="8"/>
      <c r="O68" s="8"/>
      <c r="P68" s="8"/>
      <c r="Q68" s="8"/>
      <c r="R68" s="8"/>
      <c r="S68" s="8"/>
      <c r="T68" s="8"/>
      <c r="U68" s="8"/>
    </row>
    <row r="69" ht="14.25" customHeight="1">
      <c r="A69" s="23" t="s">
        <v>75</v>
      </c>
      <c r="B69" s="9"/>
      <c r="C69" s="9" t="s">
        <v>76</v>
      </c>
      <c r="D69" s="9"/>
      <c r="E69" s="9">
        <v>37020.0</v>
      </c>
      <c r="F69" s="9"/>
      <c r="G69" s="9"/>
      <c r="H69" s="9"/>
      <c r="I69" s="18"/>
      <c r="J69" s="9"/>
      <c r="K69" s="9"/>
      <c r="L69" s="9"/>
      <c r="M69" s="9"/>
      <c r="N69" s="8"/>
      <c r="O69" s="8"/>
      <c r="P69" s="8"/>
      <c r="Q69" s="8"/>
      <c r="R69" s="8"/>
      <c r="S69" s="8"/>
      <c r="T69" s="8"/>
      <c r="U69" s="8"/>
    </row>
    <row r="70" ht="14.25" customHeight="1">
      <c r="A70" s="23" t="s">
        <v>77</v>
      </c>
      <c r="B70" s="9"/>
      <c r="C70" s="9"/>
      <c r="D70" s="9"/>
      <c r="E70" s="9">
        <v>450.0</v>
      </c>
      <c r="F70" s="9"/>
      <c r="G70" s="9"/>
      <c r="H70" s="9"/>
      <c r="I70" s="18"/>
      <c r="J70" s="9"/>
      <c r="K70" s="9"/>
      <c r="L70" s="9"/>
      <c r="M70" s="9"/>
      <c r="N70" s="8"/>
      <c r="O70" s="8"/>
      <c r="P70" s="8"/>
      <c r="Q70" s="8"/>
      <c r="R70" s="8"/>
      <c r="S70" s="8"/>
      <c r="T70" s="8"/>
      <c r="U70" s="8"/>
    </row>
    <row r="71" ht="14.25" customHeight="1">
      <c r="A71" s="23" t="s">
        <v>78</v>
      </c>
      <c r="B71" s="9"/>
      <c r="C71" s="9" t="s">
        <v>79</v>
      </c>
      <c r="D71" s="9"/>
      <c r="E71" s="9"/>
      <c r="F71" s="9"/>
      <c r="G71" s="9"/>
      <c r="H71" s="9">
        <v>2430.0</v>
      </c>
      <c r="I71" s="18"/>
      <c r="J71" s="9"/>
      <c r="K71" s="9"/>
      <c r="L71" s="9"/>
      <c r="M71" s="9"/>
      <c r="N71" s="8"/>
      <c r="O71" s="8"/>
      <c r="P71" s="8"/>
      <c r="Q71" s="8"/>
      <c r="R71" s="8"/>
      <c r="S71" s="8"/>
      <c r="T71" s="8"/>
      <c r="U71" s="8"/>
    </row>
    <row r="72" ht="14.25" customHeight="1">
      <c r="A72" s="23" t="s">
        <v>80</v>
      </c>
      <c r="B72" s="9"/>
      <c r="C72" s="9" t="s">
        <v>81</v>
      </c>
      <c r="D72" s="9"/>
      <c r="E72" s="9"/>
      <c r="F72" s="9"/>
      <c r="G72" s="9">
        <v>52500.0</v>
      </c>
      <c r="H72" s="9"/>
      <c r="I72" s="18"/>
      <c r="J72" s="9"/>
      <c r="K72" s="9"/>
      <c r="L72" s="9"/>
      <c r="M72" s="9"/>
      <c r="N72" s="8"/>
      <c r="O72" s="8"/>
      <c r="P72" s="8"/>
      <c r="Q72" s="8"/>
      <c r="R72" s="8"/>
      <c r="S72" s="8"/>
      <c r="T72" s="8"/>
      <c r="U72" s="8"/>
    </row>
    <row r="73" ht="14.25" customHeight="1">
      <c r="A73" s="23" t="s">
        <v>12</v>
      </c>
      <c r="B73" s="9"/>
      <c r="C73" s="9" t="s">
        <v>82</v>
      </c>
      <c r="D73" s="9"/>
      <c r="E73" s="9"/>
      <c r="F73" s="9"/>
      <c r="G73" s="9"/>
      <c r="H73" s="9">
        <v>3312.5</v>
      </c>
      <c r="I73" s="18"/>
      <c r="J73" s="9"/>
      <c r="K73" s="9"/>
      <c r="L73" s="9"/>
      <c r="M73" s="9"/>
      <c r="N73" s="8"/>
      <c r="O73" s="8"/>
      <c r="P73" s="8"/>
      <c r="Q73" s="8"/>
      <c r="R73" s="8"/>
      <c r="S73" s="8"/>
      <c r="T73" s="8"/>
      <c r="U73" s="8"/>
    </row>
    <row r="74" ht="14.25" customHeight="1">
      <c r="A74" s="23" t="s">
        <v>83</v>
      </c>
      <c r="B74" s="9"/>
      <c r="C74" s="9" t="s">
        <v>84</v>
      </c>
      <c r="D74" s="9"/>
      <c r="E74" s="9"/>
      <c r="F74" s="9"/>
      <c r="G74" s="9">
        <f>20308.75+6459 </f>
        <v>26767.75</v>
      </c>
      <c r="H74" s="9"/>
      <c r="I74" s="18"/>
      <c r="J74" s="9"/>
      <c r="K74" s="9"/>
      <c r="L74" s="9"/>
      <c r="M74" s="9"/>
      <c r="N74" s="8"/>
      <c r="O74" s="8"/>
      <c r="P74" s="8"/>
      <c r="Q74" s="8"/>
      <c r="R74" s="8"/>
      <c r="S74" s="8"/>
      <c r="T74" s="8"/>
      <c r="U74" s="8"/>
    </row>
    <row r="75" ht="14.25" customHeight="1">
      <c r="A75" s="23" t="s">
        <v>85</v>
      </c>
      <c r="B75" s="9"/>
      <c r="C75" s="9" t="s">
        <v>86</v>
      </c>
      <c r="D75" s="9"/>
      <c r="E75" s="9"/>
      <c r="F75" s="9"/>
      <c r="G75" s="9"/>
      <c r="H75" s="9"/>
      <c r="I75" s="18"/>
      <c r="J75" s="9"/>
      <c r="K75" s="9"/>
      <c r="L75" s="9"/>
      <c r="M75" s="9"/>
      <c r="N75" s="8"/>
      <c r="O75" s="8"/>
      <c r="P75" s="8"/>
      <c r="Q75" s="8"/>
      <c r="R75" s="8"/>
      <c r="S75" s="8"/>
      <c r="T75" s="8"/>
      <c r="U75" s="8"/>
    </row>
    <row r="76" ht="14.25" customHeight="1">
      <c r="A76" s="23"/>
      <c r="B76" s="9"/>
      <c r="C76" s="9"/>
      <c r="D76" s="9"/>
      <c r="E76" s="9"/>
      <c r="F76" s="9"/>
      <c r="G76" s="9"/>
      <c r="H76" s="9"/>
      <c r="I76" s="18"/>
      <c r="J76" s="9"/>
      <c r="K76" s="9"/>
      <c r="L76" s="9"/>
      <c r="M76" s="9"/>
      <c r="N76" s="8"/>
      <c r="O76" s="8"/>
      <c r="P76" s="8"/>
      <c r="Q76" s="8"/>
      <c r="R76" s="8"/>
      <c r="S76" s="8"/>
      <c r="T76" s="8"/>
      <c r="U76" s="8"/>
    </row>
    <row r="77" ht="14.25" customHeight="1">
      <c r="A77" s="23"/>
      <c r="B77" s="9"/>
      <c r="C77" s="9"/>
      <c r="D77" s="9"/>
      <c r="E77" s="9"/>
      <c r="F77" s="9"/>
      <c r="G77" s="9"/>
      <c r="H77" s="9"/>
      <c r="I77" s="18"/>
      <c r="J77" s="9"/>
      <c r="K77" s="9"/>
      <c r="L77" s="9"/>
      <c r="M77" s="9"/>
      <c r="N77" s="8"/>
      <c r="O77" s="8"/>
      <c r="P77" s="8"/>
      <c r="Q77" s="8"/>
      <c r="R77" s="8"/>
      <c r="S77" s="8"/>
      <c r="T77" s="8"/>
      <c r="U77" s="8"/>
    </row>
    <row r="78" ht="14.25" customHeight="1">
      <c r="A78" s="24"/>
      <c r="B78" s="21"/>
      <c r="C78" s="21"/>
      <c r="D78" s="21"/>
      <c r="E78" s="21"/>
      <c r="F78" s="21"/>
      <c r="G78" s="21"/>
      <c r="H78" s="21"/>
      <c r="I78" s="25"/>
      <c r="J78" s="9"/>
      <c r="K78" s="9"/>
      <c r="L78" s="9"/>
      <c r="M78" s="9"/>
      <c r="N78" s="30"/>
      <c r="O78" s="9"/>
      <c r="P78" s="9"/>
      <c r="Q78" s="9"/>
      <c r="R78" s="9"/>
      <c r="S78" s="9"/>
      <c r="T78" s="9"/>
      <c r="U78" s="9"/>
      <c r="V78" s="9"/>
    </row>
    <row r="79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30"/>
      <c r="O79" s="31"/>
      <c r="V79" s="31"/>
    </row>
    <row r="80" ht="14.25" customHeight="1">
      <c r="A80" s="32" t="s">
        <v>87</v>
      </c>
      <c r="B80" s="12"/>
      <c r="C80" s="12"/>
      <c r="D80" s="12"/>
      <c r="E80" s="12"/>
      <c r="F80" s="12"/>
      <c r="G80" s="12"/>
      <c r="H80" s="12"/>
      <c r="I80" s="27"/>
      <c r="J80" s="9"/>
      <c r="K80" s="9"/>
      <c r="L80" s="9"/>
      <c r="M80" s="9"/>
      <c r="N80" s="9"/>
      <c r="O80" s="33"/>
      <c r="P80" s="9"/>
      <c r="Q80" s="9"/>
      <c r="R80" s="9"/>
      <c r="S80" s="9"/>
      <c r="T80" s="9"/>
      <c r="U80" s="9"/>
      <c r="V80" s="33"/>
    </row>
    <row r="81" ht="14.25" customHeight="1">
      <c r="A81" s="34" t="s">
        <v>88</v>
      </c>
      <c r="B81" s="9"/>
      <c r="C81" s="9"/>
      <c r="D81" s="9"/>
      <c r="E81" s="9"/>
      <c r="F81" s="9"/>
      <c r="G81" s="9"/>
      <c r="H81" s="9"/>
      <c r="I81" s="18"/>
      <c r="J81" s="9"/>
      <c r="K81" s="9"/>
      <c r="L81" s="9"/>
      <c r="M81" s="9"/>
      <c r="N81" s="9"/>
      <c r="O81" s="33"/>
      <c r="P81" s="30"/>
      <c r="Q81" s="9"/>
      <c r="R81" s="30"/>
      <c r="S81" s="9"/>
      <c r="T81" s="9"/>
      <c r="U81" s="9"/>
      <c r="V81" s="33"/>
    </row>
    <row r="82" ht="14.25" customHeight="1">
      <c r="A82" s="35" t="s">
        <v>89</v>
      </c>
      <c r="B82" s="30" t="s">
        <v>90</v>
      </c>
      <c r="C82" s="30" t="s">
        <v>91</v>
      </c>
      <c r="D82" s="9"/>
      <c r="E82" s="30">
        <v>188.78</v>
      </c>
      <c r="F82" s="9"/>
      <c r="G82" s="9"/>
      <c r="H82" s="9"/>
      <c r="I82" s="18"/>
      <c r="J82" s="9"/>
      <c r="K82" s="9"/>
      <c r="L82" s="9"/>
      <c r="M82" s="9"/>
      <c r="N82" s="30"/>
      <c r="O82" s="36"/>
      <c r="P82" s="30"/>
      <c r="Q82" s="9"/>
      <c r="R82" s="30"/>
      <c r="S82" s="9"/>
      <c r="T82" s="9"/>
      <c r="U82" s="9"/>
      <c r="V82" s="30"/>
    </row>
    <row r="83" ht="14.25" customHeight="1">
      <c r="A83" s="37"/>
      <c r="B83" s="30" t="s">
        <v>92</v>
      </c>
      <c r="C83" s="30" t="s">
        <v>93</v>
      </c>
      <c r="D83" s="9"/>
      <c r="E83" s="30">
        <v>209.67</v>
      </c>
      <c r="F83" s="9"/>
      <c r="G83" s="9"/>
      <c r="H83" s="9"/>
      <c r="I83" s="18"/>
      <c r="J83" s="9"/>
      <c r="K83" s="9"/>
      <c r="L83" s="9"/>
      <c r="M83" s="9"/>
      <c r="N83" s="9"/>
      <c r="O83" s="38"/>
      <c r="P83" s="30"/>
      <c r="Q83" s="9"/>
      <c r="R83" s="30"/>
      <c r="S83" s="9"/>
      <c r="T83" s="9"/>
      <c r="U83" s="9"/>
      <c r="V83" s="30"/>
    </row>
    <row r="84" ht="14.25" customHeight="1">
      <c r="A84" s="37"/>
      <c r="B84" s="30" t="s">
        <v>94</v>
      </c>
      <c r="C84" s="30" t="s">
        <v>95</v>
      </c>
      <c r="D84" s="9"/>
      <c r="E84" s="30">
        <v>380.86</v>
      </c>
      <c r="F84" s="9"/>
      <c r="G84" s="9"/>
      <c r="H84" s="9"/>
      <c r="I84" s="18"/>
      <c r="J84" s="9"/>
      <c r="K84" s="9"/>
      <c r="L84" s="9"/>
      <c r="M84" s="9"/>
      <c r="N84" s="9"/>
      <c r="O84" s="39"/>
      <c r="P84" s="30"/>
      <c r="Q84" s="9"/>
      <c r="R84" s="9"/>
      <c r="S84" s="9"/>
      <c r="T84" s="9"/>
      <c r="U84" s="9"/>
      <c r="V84" s="9"/>
    </row>
    <row r="85" ht="14.25" customHeight="1">
      <c r="A85" s="35" t="s">
        <v>96</v>
      </c>
      <c r="B85" s="40" t="s">
        <v>97</v>
      </c>
      <c r="C85" s="30" t="s">
        <v>98</v>
      </c>
      <c r="D85" s="9"/>
      <c r="F85" s="9"/>
      <c r="G85" s="9"/>
      <c r="H85" s="9"/>
      <c r="I85" s="41">
        <v>102.5</v>
      </c>
      <c r="J85" s="9"/>
      <c r="K85" s="9"/>
      <c r="L85" s="9"/>
      <c r="M85" s="9"/>
      <c r="N85" s="30"/>
      <c r="O85" s="40"/>
      <c r="P85" s="30"/>
      <c r="Q85" s="9"/>
      <c r="R85" s="30"/>
      <c r="S85" s="9"/>
      <c r="T85" s="9"/>
      <c r="U85" s="9"/>
      <c r="V85" s="9"/>
    </row>
    <row r="86" ht="14.25" customHeight="1">
      <c r="A86" s="42"/>
      <c r="B86" s="39" t="s">
        <v>99</v>
      </c>
      <c r="C86" s="30" t="s">
        <v>98</v>
      </c>
      <c r="D86" s="9"/>
      <c r="F86" s="9"/>
      <c r="G86" s="9"/>
      <c r="H86" s="9"/>
      <c r="I86" s="43">
        <v>986.25</v>
      </c>
      <c r="J86" s="9"/>
      <c r="K86" s="9"/>
      <c r="L86" s="9"/>
      <c r="M86" s="9"/>
      <c r="N86" s="30"/>
      <c r="O86" s="40"/>
      <c r="P86" s="30"/>
      <c r="Q86" s="9"/>
      <c r="R86" s="30"/>
      <c r="S86" s="9"/>
      <c r="T86" s="9"/>
      <c r="U86" s="9"/>
      <c r="V86" s="9"/>
    </row>
    <row r="87" ht="14.25" customHeight="1">
      <c r="A87" s="42"/>
      <c r="B87" s="40" t="s">
        <v>100</v>
      </c>
      <c r="C87" s="30" t="s">
        <v>98</v>
      </c>
      <c r="D87" s="9"/>
      <c r="F87" s="9"/>
      <c r="G87" s="9"/>
      <c r="H87" s="9"/>
      <c r="I87" s="41">
        <v>3572.43</v>
      </c>
      <c r="J87" s="9"/>
      <c r="K87" s="9"/>
      <c r="L87" s="9"/>
      <c r="M87" s="8"/>
      <c r="N87" s="30"/>
      <c r="O87" s="40"/>
      <c r="P87" s="30"/>
      <c r="Q87" s="9"/>
      <c r="R87" s="30"/>
      <c r="S87" s="9"/>
      <c r="T87" s="9"/>
      <c r="U87" s="9"/>
      <c r="V87" s="9"/>
    </row>
    <row r="88" ht="14.25" customHeight="1">
      <c r="A88" s="42" t="s">
        <v>101</v>
      </c>
      <c r="B88" s="40" t="s">
        <v>102</v>
      </c>
      <c r="C88" s="30" t="s">
        <v>103</v>
      </c>
      <c r="D88" s="9"/>
      <c r="E88" s="30">
        <v>1128.23</v>
      </c>
      <c r="F88" s="9"/>
      <c r="G88" s="9"/>
      <c r="H88" s="9"/>
      <c r="I88" s="18"/>
      <c r="J88" s="8"/>
      <c r="K88" s="30"/>
      <c r="L88" s="8"/>
      <c r="M88" s="8"/>
      <c r="N88" s="30"/>
      <c r="O88" s="40"/>
      <c r="P88" s="30"/>
      <c r="Q88" s="9"/>
      <c r="R88" s="30"/>
      <c r="S88" s="9"/>
      <c r="T88" s="9"/>
      <c r="U88" s="9"/>
      <c r="V88" s="9"/>
    </row>
    <row r="89" ht="14.25" customHeight="1">
      <c r="A89" s="42"/>
      <c r="B89" s="40" t="s">
        <v>104</v>
      </c>
      <c r="C89" s="30" t="s">
        <v>103</v>
      </c>
      <c r="D89" s="9"/>
      <c r="E89" s="30">
        <v>1128.23</v>
      </c>
      <c r="F89" s="9"/>
      <c r="G89" s="9"/>
      <c r="H89" s="9"/>
      <c r="I89" s="18"/>
      <c r="K89" s="30"/>
      <c r="N89" s="30"/>
      <c r="O89" s="40"/>
      <c r="P89" s="30"/>
      <c r="Q89" s="9"/>
      <c r="R89" s="30"/>
      <c r="S89" s="9"/>
      <c r="T89" s="9"/>
      <c r="U89" s="9"/>
      <c r="V89" s="9"/>
    </row>
    <row r="90" ht="14.25" customHeight="1">
      <c r="A90" s="42"/>
      <c r="B90" s="40" t="s">
        <v>105</v>
      </c>
      <c r="C90" s="30" t="s">
        <v>103</v>
      </c>
      <c r="D90" s="9"/>
      <c r="E90" s="30">
        <v>1128.23</v>
      </c>
      <c r="F90" s="9"/>
      <c r="G90" s="9"/>
      <c r="H90" s="9"/>
      <c r="I90" s="18"/>
      <c r="K90" s="30"/>
      <c r="N90" s="30"/>
      <c r="O90" s="40"/>
      <c r="P90" s="30"/>
      <c r="Q90" s="9"/>
      <c r="R90" s="30"/>
      <c r="S90" s="9"/>
      <c r="T90" s="9"/>
      <c r="U90" s="9"/>
      <c r="V90" s="9"/>
    </row>
    <row r="91" ht="14.25" customHeight="1">
      <c r="A91" s="34" t="s">
        <v>10</v>
      </c>
      <c r="B91" s="40" t="s">
        <v>106</v>
      </c>
      <c r="C91" s="30" t="s">
        <v>107</v>
      </c>
      <c r="D91" s="9"/>
      <c r="E91" s="30">
        <v>252088.92</v>
      </c>
      <c r="F91" s="9"/>
      <c r="G91" s="9"/>
      <c r="H91" s="9"/>
      <c r="I91" s="18"/>
      <c r="K91" s="30"/>
      <c r="N91" s="30"/>
      <c r="O91" s="39"/>
      <c r="P91" s="9"/>
      <c r="Q91" s="9"/>
      <c r="R91" s="30"/>
      <c r="S91" s="9"/>
      <c r="T91" s="9"/>
      <c r="U91" s="9"/>
      <c r="V91" s="9"/>
    </row>
    <row r="92" ht="14.25" customHeight="1">
      <c r="A92" s="34"/>
      <c r="B92" s="40" t="s">
        <v>108</v>
      </c>
      <c r="C92" s="30" t="s">
        <v>107</v>
      </c>
      <c r="D92" s="9"/>
      <c r="E92" s="30">
        <v>108751.67</v>
      </c>
      <c r="F92" s="9"/>
      <c r="G92" s="9"/>
      <c r="H92" s="9"/>
      <c r="I92" s="18"/>
      <c r="K92" s="30"/>
      <c r="N92" s="9"/>
      <c r="O92" s="39"/>
      <c r="P92" s="9"/>
      <c r="Q92" s="9"/>
      <c r="R92" s="9"/>
      <c r="S92" s="9"/>
      <c r="T92" s="9"/>
      <c r="U92" s="9"/>
      <c r="V92" s="9"/>
    </row>
    <row r="93" ht="14.25" customHeight="1">
      <c r="A93" s="34" t="s">
        <v>109</v>
      </c>
      <c r="B93" s="40" t="s">
        <v>110</v>
      </c>
      <c r="C93" s="30" t="s">
        <v>111</v>
      </c>
      <c r="D93" s="9"/>
      <c r="E93" s="30">
        <v>9179.42</v>
      </c>
      <c r="F93" s="30" t="s">
        <v>112</v>
      </c>
      <c r="G93" s="9"/>
      <c r="H93" s="9"/>
      <c r="I93" s="18"/>
      <c r="K93" s="30"/>
      <c r="N93" s="9"/>
      <c r="O93" s="39"/>
      <c r="P93" s="9"/>
      <c r="Q93" s="9"/>
      <c r="R93" s="9"/>
      <c r="S93" s="9"/>
      <c r="T93" s="9"/>
      <c r="U93" s="9"/>
      <c r="V93" s="9"/>
    </row>
    <row r="94" ht="14.25" customHeight="1">
      <c r="A94" s="23"/>
      <c r="B94" s="40" t="s">
        <v>110</v>
      </c>
      <c r="C94" s="30" t="s">
        <v>113</v>
      </c>
      <c r="D94" s="9"/>
      <c r="E94" s="30"/>
      <c r="F94" s="30" t="s">
        <v>112</v>
      </c>
      <c r="G94" s="30">
        <v>4874.08</v>
      </c>
      <c r="H94" s="30"/>
      <c r="I94" s="18"/>
      <c r="K94" s="30"/>
    </row>
    <row r="95" ht="14.25" customHeight="1">
      <c r="A95" s="23"/>
      <c r="B95" s="40" t="s">
        <v>114</v>
      </c>
      <c r="C95" s="30" t="s">
        <v>111</v>
      </c>
      <c r="D95" s="9"/>
      <c r="E95" s="30">
        <v>9179.41</v>
      </c>
      <c r="F95" s="30" t="s">
        <v>112</v>
      </c>
      <c r="G95" s="9"/>
      <c r="H95" s="9"/>
      <c r="I95" s="18"/>
      <c r="K95" s="30"/>
    </row>
    <row r="96" ht="14.25" customHeight="1">
      <c r="A96" s="34" t="s">
        <v>115</v>
      </c>
      <c r="B96" s="40" t="s">
        <v>116</v>
      </c>
      <c r="C96" s="36" t="s">
        <v>117</v>
      </c>
      <c r="D96" s="9"/>
      <c r="E96" s="30">
        <v>6136.05</v>
      </c>
      <c r="F96" s="30" t="s">
        <v>112</v>
      </c>
      <c r="G96" s="9"/>
      <c r="H96" s="9"/>
      <c r="I96" s="18"/>
      <c r="K96" s="30"/>
    </row>
    <row r="97" ht="14.25" customHeight="1">
      <c r="A97" s="23"/>
      <c r="B97" s="40" t="s">
        <v>118</v>
      </c>
      <c r="C97" s="30" t="s">
        <v>119</v>
      </c>
      <c r="D97" s="9"/>
      <c r="F97" s="30" t="s">
        <v>112</v>
      </c>
      <c r="G97" s="30">
        <v>48041.21</v>
      </c>
      <c r="H97" s="9"/>
      <c r="I97" s="18"/>
      <c r="K97" s="30"/>
    </row>
    <row r="98" ht="14.25" customHeight="1">
      <c r="A98" s="34" t="s">
        <v>120</v>
      </c>
      <c r="B98" s="40" t="s">
        <v>121</v>
      </c>
      <c r="C98" s="30" t="s">
        <v>122</v>
      </c>
      <c r="D98" s="9"/>
      <c r="E98" s="30">
        <v>23950.0</v>
      </c>
      <c r="F98" s="9"/>
      <c r="G98" s="9"/>
      <c r="H98" s="9"/>
      <c r="I98" s="18"/>
      <c r="K98" s="30"/>
    </row>
    <row r="99" ht="14.25" customHeight="1">
      <c r="A99" s="34" t="s">
        <v>123</v>
      </c>
      <c r="B99" s="40" t="s">
        <v>124</v>
      </c>
      <c r="C99" s="30" t="s">
        <v>125</v>
      </c>
      <c r="D99" s="9"/>
      <c r="E99" s="30">
        <v>989.35</v>
      </c>
      <c r="F99" s="9"/>
      <c r="G99" s="9"/>
      <c r="H99" s="9"/>
      <c r="I99" s="18"/>
      <c r="K99" s="30"/>
    </row>
    <row r="100" ht="14.25" customHeight="1">
      <c r="A100" s="23"/>
      <c r="B100" s="40" t="s">
        <v>126</v>
      </c>
      <c r="C100" s="30" t="s">
        <v>125</v>
      </c>
      <c r="D100" s="9"/>
      <c r="E100" s="30">
        <v>963.98</v>
      </c>
      <c r="F100" s="9"/>
      <c r="G100" s="9"/>
      <c r="H100" s="9"/>
      <c r="I100" s="18"/>
      <c r="K100" s="30"/>
    </row>
    <row r="101" ht="14.25" customHeight="1">
      <c r="A101" s="34"/>
      <c r="B101" s="40" t="s">
        <v>127</v>
      </c>
      <c r="C101" s="30" t="s">
        <v>125</v>
      </c>
      <c r="D101" s="9"/>
      <c r="E101" s="30">
        <v>2291.07</v>
      </c>
      <c r="F101" s="9"/>
      <c r="G101" s="9"/>
      <c r="H101" s="9"/>
      <c r="I101" s="18"/>
      <c r="K101" s="30"/>
    </row>
    <row r="102" ht="14.25" customHeight="1">
      <c r="A102" s="34"/>
      <c r="B102" s="40" t="s">
        <v>128</v>
      </c>
      <c r="C102" s="30" t="s">
        <v>125</v>
      </c>
      <c r="D102" s="9"/>
      <c r="E102" s="30">
        <v>304.18</v>
      </c>
      <c r="F102" s="9"/>
      <c r="G102" s="9"/>
      <c r="H102" s="9"/>
      <c r="I102" s="18"/>
      <c r="K102" s="30"/>
    </row>
    <row r="103" ht="14.25" customHeight="1">
      <c r="A103" s="34"/>
      <c r="B103" s="39"/>
      <c r="C103" s="9"/>
      <c r="D103" s="9"/>
      <c r="E103" s="9"/>
      <c r="F103" s="9"/>
      <c r="G103" s="9"/>
      <c r="H103" s="9"/>
      <c r="I103" s="18"/>
      <c r="K103" s="30"/>
    </row>
    <row r="104" ht="14.25" customHeight="1">
      <c r="A104" s="44"/>
      <c r="B104" s="45"/>
      <c r="C104" s="21"/>
      <c r="D104" s="21"/>
      <c r="E104" s="21"/>
      <c r="F104" s="21"/>
      <c r="G104" s="21"/>
      <c r="H104" s="21"/>
      <c r="I104" s="25"/>
      <c r="K104" s="30"/>
    </row>
    <row r="105" ht="14.25" customHeight="1">
      <c r="A105" s="30"/>
      <c r="B105" s="39"/>
      <c r="C105" s="9"/>
      <c r="D105" s="9"/>
      <c r="E105" s="9"/>
      <c r="F105" s="9"/>
      <c r="G105" s="9"/>
      <c r="H105" s="9"/>
      <c r="I105" s="9"/>
      <c r="K105" s="30"/>
    </row>
    <row r="106" ht="14.25" customHeight="1">
      <c r="A106" s="32" t="s">
        <v>129</v>
      </c>
      <c r="B106" s="12"/>
      <c r="C106" s="12"/>
      <c r="D106" s="12"/>
      <c r="E106" s="12"/>
      <c r="F106" s="12"/>
      <c r="G106" s="12"/>
      <c r="H106" s="12"/>
      <c r="I106" s="27"/>
    </row>
    <row r="107" ht="14.25" customHeight="1">
      <c r="A107" s="34" t="s">
        <v>130</v>
      </c>
      <c r="B107" s="9"/>
      <c r="C107" s="9"/>
      <c r="D107" s="9"/>
      <c r="E107" s="9"/>
      <c r="F107" s="9"/>
      <c r="G107" s="9"/>
      <c r="H107" s="9"/>
      <c r="I107" s="18"/>
    </row>
    <row r="108" ht="14.25" customHeight="1">
      <c r="A108" s="42" t="s">
        <v>131</v>
      </c>
      <c r="B108" s="40">
        <v>118349.0</v>
      </c>
      <c r="C108" s="30" t="s">
        <v>132</v>
      </c>
      <c r="D108" s="30"/>
      <c r="E108" s="30">
        <v>1340.0</v>
      </c>
      <c r="F108" s="9"/>
      <c r="G108" s="9"/>
      <c r="H108" s="9"/>
      <c r="I108" s="18"/>
    </row>
    <row r="109" ht="14.25" customHeight="1">
      <c r="A109" s="42" t="s">
        <v>67</v>
      </c>
      <c r="B109" s="40" t="s">
        <v>133</v>
      </c>
      <c r="C109" s="30" t="s">
        <v>125</v>
      </c>
      <c r="D109" s="30"/>
      <c r="E109" s="30">
        <v>352.1</v>
      </c>
      <c r="F109" s="9"/>
      <c r="G109" s="9"/>
      <c r="H109" s="9"/>
      <c r="I109" s="18"/>
    </row>
    <row r="110" ht="14.25" customHeight="1">
      <c r="A110" s="46"/>
      <c r="B110" s="40" t="s">
        <v>134</v>
      </c>
      <c r="C110" s="30" t="s">
        <v>125</v>
      </c>
      <c r="D110" s="30"/>
      <c r="E110" s="30">
        <v>310.68</v>
      </c>
      <c r="F110" s="9"/>
      <c r="G110" s="9"/>
      <c r="H110" s="9"/>
      <c r="I110" s="18"/>
    </row>
    <row r="111" ht="14.25" customHeight="1">
      <c r="A111" s="46"/>
      <c r="B111" s="40" t="s">
        <v>135</v>
      </c>
      <c r="C111" s="30" t="s">
        <v>125</v>
      </c>
      <c r="D111" s="30"/>
      <c r="E111" s="30">
        <v>2916.45</v>
      </c>
      <c r="F111" s="9"/>
      <c r="G111" s="9"/>
      <c r="H111" s="9"/>
      <c r="I111" s="18"/>
    </row>
    <row r="112" ht="14.25" customHeight="1">
      <c r="A112" s="46"/>
      <c r="B112" s="40" t="s">
        <v>136</v>
      </c>
      <c r="C112" s="30" t="s">
        <v>125</v>
      </c>
      <c r="D112" s="30"/>
      <c r="E112" s="30">
        <v>523.7</v>
      </c>
      <c r="F112" s="9"/>
      <c r="G112" s="9"/>
      <c r="H112" s="9"/>
      <c r="I112" s="18"/>
    </row>
    <row r="113" ht="14.25" customHeight="1">
      <c r="A113" s="46"/>
      <c r="B113" s="40" t="s">
        <v>137</v>
      </c>
      <c r="C113" s="30" t="s">
        <v>125</v>
      </c>
      <c r="D113" s="30"/>
      <c r="E113" s="30">
        <v>1048.15</v>
      </c>
      <c r="F113" s="9"/>
      <c r="G113" s="9"/>
      <c r="H113" s="9"/>
      <c r="I113" s="18"/>
    </row>
    <row r="114" ht="14.25" customHeight="1">
      <c r="A114" s="46"/>
      <c r="B114" s="40" t="s">
        <v>138</v>
      </c>
      <c r="C114" s="30" t="s">
        <v>125</v>
      </c>
      <c r="D114" s="30"/>
      <c r="E114" s="30">
        <v>786.03</v>
      </c>
      <c r="F114" s="9"/>
      <c r="G114" s="9"/>
      <c r="H114" s="9"/>
      <c r="I114" s="18"/>
    </row>
    <row r="115" ht="14.25" customHeight="1">
      <c r="A115" s="42" t="s">
        <v>139</v>
      </c>
      <c r="B115" s="40" t="s">
        <v>140</v>
      </c>
      <c r="C115" s="30" t="s">
        <v>141</v>
      </c>
      <c r="D115" s="30"/>
      <c r="E115" s="30">
        <v>204.53</v>
      </c>
      <c r="F115" s="9"/>
      <c r="G115" s="9"/>
      <c r="H115" s="9"/>
      <c r="I115" s="18"/>
    </row>
    <row r="116" ht="14.25" customHeight="1">
      <c r="A116" s="23"/>
      <c r="B116" s="40" t="s">
        <v>142</v>
      </c>
      <c r="C116" s="30" t="s">
        <v>143</v>
      </c>
      <c r="D116" s="30"/>
      <c r="E116" s="30">
        <v>89.44</v>
      </c>
      <c r="F116" s="9"/>
      <c r="G116" s="9"/>
      <c r="H116" s="9"/>
      <c r="I116" s="18"/>
    </row>
    <row r="117" ht="14.25" customHeight="1">
      <c r="A117" s="34" t="s">
        <v>10</v>
      </c>
      <c r="B117" s="40" t="s">
        <v>144</v>
      </c>
      <c r="C117" s="30" t="s">
        <v>107</v>
      </c>
      <c r="D117" s="30"/>
      <c r="E117" s="30">
        <v>98198.01</v>
      </c>
      <c r="F117" s="9"/>
      <c r="G117" s="9"/>
      <c r="H117" s="9"/>
      <c r="I117" s="18"/>
    </row>
    <row r="118" ht="14.25" customHeight="1">
      <c r="A118" s="23"/>
      <c r="B118" s="40" t="s">
        <v>145</v>
      </c>
      <c r="C118" s="30" t="s">
        <v>107</v>
      </c>
      <c r="D118" s="30"/>
      <c r="E118" s="30">
        <v>37611.1</v>
      </c>
      <c r="F118" s="9"/>
      <c r="G118" s="9"/>
      <c r="H118" s="9"/>
      <c r="I118" s="18"/>
    </row>
    <row r="119" ht="14.25" customHeight="1">
      <c r="A119" s="23"/>
      <c r="B119" s="40" t="s">
        <v>146</v>
      </c>
      <c r="C119" s="30" t="s">
        <v>107</v>
      </c>
      <c r="D119" s="30"/>
      <c r="E119" s="30">
        <v>49995.0</v>
      </c>
      <c r="F119" s="9"/>
      <c r="G119" s="9"/>
      <c r="H119" s="9"/>
      <c r="I119" s="18"/>
    </row>
    <row r="120" ht="14.25" customHeight="1">
      <c r="A120" s="34" t="s">
        <v>147</v>
      </c>
      <c r="B120" s="40" t="s">
        <v>148</v>
      </c>
      <c r="C120" s="30" t="s">
        <v>149</v>
      </c>
      <c r="D120" s="30"/>
      <c r="F120" s="9"/>
      <c r="G120" s="9"/>
      <c r="H120" s="30">
        <v>38067.11</v>
      </c>
      <c r="I120" s="18"/>
    </row>
    <row r="121" ht="14.25" customHeight="1">
      <c r="A121" s="23"/>
      <c r="B121" s="40">
        <v>1057.0</v>
      </c>
      <c r="C121" s="30" t="s">
        <v>149</v>
      </c>
      <c r="D121" s="30"/>
      <c r="F121" s="9"/>
      <c r="G121" s="9"/>
      <c r="H121" s="30">
        <v>44634.04</v>
      </c>
      <c r="I121" s="18"/>
    </row>
    <row r="122" ht="14.25" customHeight="1">
      <c r="A122" s="34" t="s">
        <v>109</v>
      </c>
      <c r="B122" s="40" t="s">
        <v>150</v>
      </c>
      <c r="C122" s="30" t="s">
        <v>151</v>
      </c>
      <c r="D122" s="30"/>
      <c r="E122" s="30">
        <v>5053.48</v>
      </c>
      <c r="F122" s="9"/>
      <c r="G122" s="9"/>
      <c r="H122" s="9"/>
      <c r="I122" s="18"/>
    </row>
    <row r="123" ht="14.25" customHeight="1">
      <c r="A123" s="34" t="s">
        <v>152</v>
      </c>
      <c r="B123" s="40" t="s">
        <v>153</v>
      </c>
      <c r="C123" s="30" t="s">
        <v>154</v>
      </c>
      <c r="D123" s="30"/>
      <c r="E123" s="30">
        <v>28373.32</v>
      </c>
      <c r="F123" s="9"/>
      <c r="G123" s="9"/>
      <c r="H123" s="9"/>
      <c r="I123" s="18"/>
    </row>
    <row r="124" ht="14.25" customHeight="1">
      <c r="A124" s="23"/>
      <c r="B124" s="40"/>
      <c r="C124" s="9"/>
      <c r="D124" s="9"/>
      <c r="E124" s="9"/>
      <c r="F124" s="9"/>
      <c r="G124" s="9"/>
      <c r="H124" s="9"/>
      <c r="I124" s="18"/>
    </row>
    <row r="125" ht="14.25" customHeight="1">
      <c r="A125" s="24"/>
      <c r="B125" s="21"/>
      <c r="C125" s="21"/>
      <c r="D125" s="21"/>
      <c r="E125" s="21"/>
      <c r="F125" s="21"/>
      <c r="G125" s="21"/>
      <c r="H125" s="21"/>
      <c r="I125" s="25"/>
    </row>
    <row r="126" ht="14.25" customHeight="1"/>
    <row r="127" ht="14.25" customHeight="1">
      <c r="A127" s="32" t="s">
        <v>155</v>
      </c>
      <c r="B127" s="12"/>
      <c r="C127" s="12"/>
      <c r="D127" s="12"/>
      <c r="E127" s="12"/>
      <c r="F127" s="12"/>
      <c r="G127" s="12"/>
      <c r="H127" s="12"/>
      <c r="I127" s="27"/>
    </row>
    <row r="128" ht="14.25" customHeight="1">
      <c r="A128" s="47" t="s">
        <v>10</v>
      </c>
      <c r="B128" s="40" t="s">
        <v>156</v>
      </c>
      <c r="C128" s="30" t="s">
        <v>157</v>
      </c>
      <c r="E128" s="30">
        <v>12925.0</v>
      </c>
      <c r="F128" s="9"/>
      <c r="G128" s="9"/>
      <c r="H128" s="9"/>
      <c r="I128" s="18"/>
    </row>
    <row r="129" ht="14.25" customHeight="1">
      <c r="A129" s="47" t="s">
        <v>147</v>
      </c>
      <c r="B129" s="40" t="s">
        <v>158</v>
      </c>
      <c r="C129" s="30" t="s">
        <v>149</v>
      </c>
      <c r="F129" s="9"/>
      <c r="G129" s="9"/>
      <c r="H129" s="30">
        <f>24895+13035.81</f>
        <v>37930.81</v>
      </c>
      <c r="I129" s="18"/>
    </row>
    <row r="130" ht="14.25" customHeight="1">
      <c r="A130" s="48"/>
      <c r="B130" s="40"/>
      <c r="C130" s="9"/>
      <c r="D130" s="9"/>
      <c r="E130" s="9"/>
      <c r="F130" s="9"/>
      <c r="G130" s="9"/>
      <c r="H130" s="9"/>
      <c r="I130" s="18"/>
    </row>
    <row r="131" ht="14.25" customHeight="1">
      <c r="A131" s="24"/>
      <c r="B131" s="21"/>
      <c r="C131" s="21"/>
      <c r="D131" s="21"/>
      <c r="E131" s="21"/>
      <c r="F131" s="21"/>
      <c r="G131" s="21"/>
      <c r="H131" s="21"/>
      <c r="I131" s="25"/>
    </row>
    <row r="132" ht="14.25" customHeight="1"/>
    <row r="133" ht="14.25" customHeight="1">
      <c r="A133" s="32" t="s">
        <v>159</v>
      </c>
      <c r="B133" s="12"/>
      <c r="C133" s="12"/>
      <c r="D133" s="12"/>
      <c r="E133" s="12"/>
      <c r="F133" s="12"/>
      <c r="G133" s="12"/>
      <c r="H133" s="12"/>
      <c r="I133" s="27"/>
    </row>
    <row r="134" ht="14.25" customHeight="1">
      <c r="A134" s="47" t="s">
        <v>10</v>
      </c>
      <c r="B134" s="40" t="s">
        <v>160</v>
      </c>
      <c r="C134" s="30" t="s">
        <v>157</v>
      </c>
      <c r="E134" s="30">
        <v>18672.5</v>
      </c>
      <c r="F134" s="9"/>
      <c r="G134" s="9"/>
      <c r="H134" s="9"/>
      <c r="I134" s="18"/>
    </row>
    <row r="135" ht="14.25" customHeight="1">
      <c r="A135" s="47" t="s">
        <v>147</v>
      </c>
      <c r="B135" s="40" t="s">
        <v>161</v>
      </c>
      <c r="C135" s="30" t="s">
        <v>149</v>
      </c>
      <c r="E135" s="30"/>
      <c r="F135" s="9"/>
      <c r="G135" s="9"/>
      <c r="H135" s="30">
        <f>9490+2795.06</f>
        <v>12285.06</v>
      </c>
      <c r="I135" s="18"/>
    </row>
    <row r="136" ht="14.25" customHeight="1">
      <c r="A136" s="47"/>
      <c r="B136" s="40"/>
      <c r="C136" s="9"/>
      <c r="D136" s="30"/>
      <c r="E136" s="30"/>
      <c r="F136" s="9"/>
      <c r="G136" s="9"/>
      <c r="H136" s="9"/>
      <c r="I136" s="18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25"/>
    </row>
    <row r="138" ht="14.25" customHeight="1"/>
    <row r="139" ht="14.25" customHeight="1">
      <c r="A139" s="32" t="s">
        <v>162</v>
      </c>
      <c r="B139" s="12"/>
      <c r="C139" s="12"/>
      <c r="D139" s="12"/>
      <c r="E139" s="12"/>
      <c r="F139" s="12"/>
      <c r="G139" s="12"/>
      <c r="H139" s="12"/>
      <c r="I139" s="27"/>
    </row>
    <row r="140" ht="14.25" customHeight="1">
      <c r="A140" s="47" t="s">
        <v>163</v>
      </c>
      <c r="B140" s="40" t="s">
        <v>164</v>
      </c>
      <c r="C140" s="30" t="s">
        <v>165</v>
      </c>
      <c r="F140" s="9"/>
      <c r="G140" s="9"/>
      <c r="H140" s="30">
        <v>4507.0</v>
      </c>
      <c r="I140" s="18"/>
    </row>
    <row r="141" ht="14.25" customHeight="1">
      <c r="A141" s="47"/>
      <c r="B141" s="40" t="s">
        <v>166</v>
      </c>
      <c r="C141" s="30" t="s">
        <v>165</v>
      </c>
      <c r="F141" s="9"/>
      <c r="G141" s="9"/>
      <c r="H141" s="30">
        <v>13230.0</v>
      </c>
      <c r="I141" s="18"/>
    </row>
    <row r="142" ht="14.25" customHeight="1">
      <c r="A142" s="47"/>
      <c r="B142" s="40"/>
      <c r="C142" s="9"/>
      <c r="D142" s="30"/>
      <c r="E142" s="30"/>
      <c r="F142" s="9"/>
      <c r="G142" s="9"/>
      <c r="H142" s="9"/>
      <c r="I142" s="18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25"/>
    </row>
    <row r="144" ht="14.25" customHeight="1"/>
    <row r="145" ht="14.25" customHeight="1">
      <c r="A145" s="32" t="s">
        <v>167</v>
      </c>
      <c r="B145" s="12"/>
      <c r="C145" s="12"/>
      <c r="D145" s="12"/>
      <c r="E145" s="12"/>
      <c r="F145" s="12"/>
      <c r="G145" s="12"/>
      <c r="H145" s="12"/>
      <c r="I145" s="27"/>
    </row>
    <row r="146" ht="14.25" customHeight="1">
      <c r="A146" s="47" t="s">
        <v>163</v>
      </c>
      <c r="B146" s="40" t="s">
        <v>168</v>
      </c>
      <c r="C146" s="30" t="s">
        <v>165</v>
      </c>
      <c r="F146" s="9"/>
      <c r="G146" s="9"/>
      <c r="H146" s="30">
        <v>2895.0</v>
      </c>
      <c r="I146" s="18"/>
    </row>
    <row r="147" ht="14.25" customHeight="1">
      <c r="A147" s="47"/>
      <c r="B147" s="40"/>
      <c r="C147" s="9"/>
      <c r="D147" s="30"/>
      <c r="E147" s="30"/>
      <c r="F147" s="9"/>
      <c r="G147" s="9"/>
      <c r="H147" s="9"/>
      <c r="I147" s="18"/>
    </row>
    <row r="148" ht="14.25" customHeight="1">
      <c r="A148" s="47"/>
      <c r="B148" s="40"/>
      <c r="C148" s="9"/>
      <c r="D148" s="30"/>
      <c r="E148" s="30"/>
      <c r="F148" s="9"/>
      <c r="G148" s="9"/>
      <c r="H148" s="9"/>
      <c r="I148" s="18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25"/>
    </row>
    <row r="150" ht="14.25" customHeight="1"/>
    <row r="151" ht="14.25" customHeight="1">
      <c r="A151" s="49" t="s">
        <v>169</v>
      </c>
      <c r="B151" s="49"/>
      <c r="C151" s="49"/>
      <c r="D151" s="49"/>
      <c r="E151" s="49">
        <f>SUM(E3:E149)</f>
        <v>3309813.34</v>
      </c>
      <c r="F151" s="49"/>
      <c r="G151" s="49">
        <f t="shared" ref="G151:I151" si="1">SUM(G3:G149)</f>
        <v>956394.64</v>
      </c>
      <c r="H151" s="49">
        <f t="shared" si="1"/>
        <v>227743.19</v>
      </c>
      <c r="I151" s="49">
        <f t="shared" si="1"/>
        <v>22694.19</v>
      </c>
      <c r="J151" s="49"/>
      <c r="K151" s="49">
        <f>SUM(E151:J151)</f>
        <v>4516645.36</v>
      </c>
    </row>
    <row r="152" ht="14.25" customHeight="1"/>
    <row r="153" ht="14.25" customHeight="1"/>
    <row r="154" ht="14.25" customHeight="1">
      <c r="A154" s="50" t="s">
        <v>170</v>
      </c>
      <c r="B154" s="51"/>
      <c r="C154" s="51"/>
      <c r="D154" s="51"/>
      <c r="E154" s="51"/>
      <c r="F154" s="51"/>
      <c r="G154" s="51"/>
      <c r="H154" s="51"/>
      <c r="I154" s="51"/>
      <c r="J154" s="52"/>
    </row>
    <row r="155" ht="14.25" customHeight="1">
      <c r="A155" s="53" t="s">
        <v>109</v>
      </c>
      <c r="B155" s="54" t="s">
        <v>171</v>
      </c>
      <c r="C155" s="55"/>
      <c r="D155" s="55"/>
      <c r="E155" s="55"/>
      <c r="F155" s="55"/>
      <c r="G155" s="55"/>
      <c r="H155" s="55"/>
      <c r="I155" s="56">
        <v>3710.2</v>
      </c>
      <c r="J155" s="52"/>
    </row>
    <row r="156" ht="14.25" customHeight="1">
      <c r="A156" s="57"/>
      <c r="B156" s="58" t="s">
        <v>172</v>
      </c>
      <c r="C156" s="59"/>
      <c r="D156" s="59"/>
      <c r="E156" s="59"/>
      <c r="F156" s="59"/>
      <c r="G156" s="59"/>
      <c r="H156" s="59"/>
      <c r="I156" s="56">
        <v>2158.41</v>
      </c>
      <c r="J156" s="52"/>
    </row>
    <row r="157" ht="14.25" customHeight="1">
      <c r="A157" s="57"/>
      <c r="B157" s="58" t="s">
        <v>173</v>
      </c>
      <c r="C157" s="59"/>
      <c r="D157" s="59"/>
      <c r="E157" s="59"/>
      <c r="F157" s="59"/>
      <c r="G157" s="59"/>
      <c r="H157" s="59"/>
      <c r="I157" s="56">
        <v>966.25</v>
      </c>
      <c r="J157" s="52"/>
    </row>
    <row r="158" ht="14.25" customHeight="1">
      <c r="A158" s="53" t="s">
        <v>115</v>
      </c>
      <c r="B158" s="60" t="s">
        <v>117</v>
      </c>
      <c r="C158" s="59"/>
      <c r="D158" s="59"/>
      <c r="E158" s="59"/>
      <c r="F158" s="59"/>
      <c r="G158" s="59"/>
      <c r="H158" s="59"/>
      <c r="I158" s="56">
        <v>322.95</v>
      </c>
      <c r="J158" s="52"/>
    </row>
    <row r="159" ht="14.25" customHeight="1">
      <c r="A159" s="57"/>
      <c r="B159" s="61" t="s">
        <v>174</v>
      </c>
      <c r="C159" s="59"/>
      <c r="D159" s="59"/>
      <c r="E159" s="59"/>
      <c r="F159" s="59"/>
      <c r="G159" s="59"/>
      <c r="H159" s="59"/>
      <c r="I159" s="56">
        <v>2528.49</v>
      </c>
      <c r="J159" s="52"/>
    </row>
    <row r="160" ht="14.25" customHeight="1">
      <c r="A160" s="62" t="s">
        <v>175</v>
      </c>
      <c r="B160" s="63"/>
      <c r="C160" s="64"/>
      <c r="D160" s="64"/>
      <c r="E160" s="64"/>
      <c r="F160" s="64"/>
      <c r="G160" s="64"/>
      <c r="H160" s="64"/>
      <c r="I160" s="65">
        <f>SUM(I155:I159)</f>
        <v>9686.3</v>
      </c>
      <c r="J160" s="52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41.5"/>
    <col customWidth="1" min="5" max="5" width="19.13"/>
    <col customWidth="1" min="7" max="7" width="23.38"/>
    <col customWidth="1" min="8" max="8" width="13.5"/>
    <col customWidth="1" min="9" max="9" width="21.63"/>
  </cols>
  <sheetData>
    <row r="1">
      <c r="A1" s="66" t="s">
        <v>176</v>
      </c>
      <c r="C1" s="67"/>
      <c r="D1" s="68" t="s">
        <v>1</v>
      </c>
      <c r="E1" s="69" t="s">
        <v>177</v>
      </c>
      <c r="F1" s="70" t="s">
        <v>4</v>
      </c>
      <c r="G1" s="71" t="s">
        <v>2</v>
      </c>
      <c r="H1" s="72" t="s">
        <v>178</v>
      </c>
      <c r="I1" s="67" t="s">
        <v>179</v>
      </c>
      <c r="J1" s="67"/>
      <c r="K1" s="67"/>
      <c r="L1" s="67"/>
    </row>
    <row r="2" ht="29.25" customHeight="1">
      <c r="A2" s="67"/>
      <c r="B2" s="67"/>
      <c r="C2" s="67"/>
      <c r="D2" s="67"/>
      <c r="E2" s="73" t="s">
        <v>180</v>
      </c>
      <c r="F2" s="67"/>
      <c r="G2" s="67" t="s">
        <v>5</v>
      </c>
      <c r="I2" s="67"/>
    </row>
    <row r="3">
      <c r="A3" s="74" t="s">
        <v>6</v>
      </c>
      <c r="B3" s="75"/>
      <c r="C3" s="75"/>
      <c r="D3" s="75"/>
      <c r="E3" s="75"/>
      <c r="F3" s="76"/>
      <c r="G3" s="75"/>
      <c r="H3" s="77"/>
      <c r="I3" s="78"/>
      <c r="J3" s="79"/>
      <c r="K3" s="79"/>
      <c r="L3" s="79"/>
    </row>
    <row r="4">
      <c r="A4" s="80" t="s">
        <v>7</v>
      </c>
      <c r="B4" s="79" t="s">
        <v>8</v>
      </c>
      <c r="C4" s="79"/>
      <c r="D4" s="81">
        <v>340.03</v>
      </c>
      <c r="E4" s="79"/>
      <c r="F4" s="82"/>
      <c r="G4" s="79"/>
      <c r="H4" s="83"/>
      <c r="I4" s="78"/>
      <c r="J4" s="79"/>
      <c r="K4" s="79"/>
      <c r="L4" s="79"/>
    </row>
    <row r="5">
      <c r="A5" s="80" t="s">
        <v>7</v>
      </c>
      <c r="B5" s="79" t="s">
        <v>9</v>
      </c>
      <c r="D5" s="84">
        <v>1843.04</v>
      </c>
      <c r="E5" s="79"/>
      <c r="F5" s="82"/>
      <c r="H5" s="83"/>
      <c r="I5" s="78"/>
      <c r="J5" s="79"/>
      <c r="K5" s="79"/>
      <c r="L5" s="79"/>
    </row>
    <row r="6">
      <c r="A6" s="80" t="s">
        <v>10</v>
      </c>
      <c r="B6" s="79" t="s">
        <v>11</v>
      </c>
      <c r="C6" s="79"/>
      <c r="D6" s="81">
        <v>80802.65</v>
      </c>
      <c r="E6" s="79"/>
      <c r="F6" s="82"/>
      <c r="G6" s="79"/>
      <c r="H6" s="83"/>
      <c r="I6" s="78"/>
      <c r="J6" s="79"/>
      <c r="K6" s="79"/>
      <c r="L6" s="79"/>
    </row>
    <row r="7">
      <c r="A7" s="80" t="s">
        <v>12</v>
      </c>
      <c r="B7" s="79" t="s">
        <v>13</v>
      </c>
      <c r="C7" s="79"/>
      <c r="D7" s="79"/>
      <c r="E7" s="79"/>
      <c r="F7" s="85">
        <v>12620.0</v>
      </c>
      <c r="G7" s="79"/>
      <c r="H7" s="83"/>
      <c r="I7" s="86" t="s">
        <v>181</v>
      </c>
      <c r="J7" s="79"/>
      <c r="K7" s="79"/>
      <c r="L7" s="79"/>
    </row>
    <row r="8">
      <c r="A8" s="80" t="s">
        <v>7</v>
      </c>
      <c r="B8" s="79" t="s">
        <v>14</v>
      </c>
      <c r="D8" s="81">
        <v>25000.0</v>
      </c>
      <c r="E8" s="79"/>
      <c r="F8" s="82"/>
      <c r="G8" s="79"/>
      <c r="H8" s="83"/>
      <c r="I8" s="78"/>
      <c r="J8" s="79"/>
      <c r="K8" s="79"/>
      <c r="L8" s="79"/>
    </row>
    <row r="9">
      <c r="A9" s="80" t="s">
        <v>15</v>
      </c>
      <c r="B9" s="79" t="s">
        <v>16</v>
      </c>
      <c r="C9" s="79"/>
      <c r="D9" s="79"/>
      <c r="E9" s="79"/>
      <c r="F9" s="82"/>
      <c r="G9" s="81">
        <v>78072.18</v>
      </c>
      <c r="H9" s="83"/>
      <c r="I9" s="86" t="s">
        <v>182</v>
      </c>
      <c r="J9" s="79"/>
      <c r="K9" s="79"/>
      <c r="L9" s="79"/>
    </row>
    <row r="10">
      <c r="A10" s="80" t="s">
        <v>18</v>
      </c>
      <c r="B10" s="79" t="s">
        <v>19</v>
      </c>
      <c r="D10" s="79"/>
      <c r="F10" s="82"/>
      <c r="G10" s="81">
        <v>7630.41</v>
      </c>
      <c r="H10" s="83"/>
      <c r="I10" s="78"/>
      <c r="J10" s="79"/>
      <c r="K10" s="79"/>
      <c r="L10" s="79"/>
    </row>
    <row r="11">
      <c r="A11" s="87"/>
      <c r="B11" s="88" t="s">
        <v>183</v>
      </c>
      <c r="C11" s="89"/>
      <c r="D11" s="89"/>
      <c r="E11" s="79"/>
      <c r="F11" s="90"/>
      <c r="G11" s="88">
        <v>105417.0</v>
      </c>
      <c r="H11" s="91"/>
      <c r="I11" s="78"/>
      <c r="J11" s="79"/>
      <c r="K11" s="79"/>
      <c r="L11" s="79"/>
    </row>
    <row r="12">
      <c r="A12" s="79"/>
      <c r="B12" s="79"/>
      <c r="C12" s="79"/>
      <c r="D12" s="79"/>
      <c r="E12" s="75"/>
      <c r="F12" s="78"/>
      <c r="G12" s="79"/>
      <c r="H12" s="83"/>
      <c r="I12" s="78">
        <f>SUM(D3:H11)</f>
        <v>311725.31</v>
      </c>
      <c r="J12" s="79"/>
      <c r="K12" s="79"/>
      <c r="L12" s="79"/>
    </row>
    <row r="13">
      <c r="A13" s="74" t="s">
        <v>20</v>
      </c>
      <c r="B13" s="75"/>
      <c r="C13" s="75"/>
      <c r="D13" s="75"/>
      <c r="E13" s="75"/>
      <c r="F13" s="76"/>
      <c r="G13" s="75"/>
      <c r="H13" s="77"/>
      <c r="I13" s="78"/>
      <c r="J13" s="79"/>
      <c r="K13" s="79"/>
      <c r="L13" s="79"/>
    </row>
    <row r="14">
      <c r="A14" s="92" t="s">
        <v>184</v>
      </c>
      <c r="B14" s="79" t="s">
        <v>17</v>
      </c>
      <c r="C14" s="79"/>
      <c r="D14" s="79"/>
      <c r="E14" s="79"/>
      <c r="F14" s="82"/>
      <c r="G14" s="81">
        <v>29365.25</v>
      </c>
      <c r="H14" s="83"/>
      <c r="I14" s="78"/>
      <c r="J14" s="79"/>
      <c r="K14" s="79"/>
      <c r="L14" s="79"/>
    </row>
    <row r="15">
      <c r="A15" s="80" t="s">
        <v>22</v>
      </c>
      <c r="B15" s="79" t="s">
        <v>17</v>
      </c>
      <c r="C15" s="79"/>
      <c r="D15" s="79"/>
      <c r="E15" s="79"/>
      <c r="F15" s="82"/>
      <c r="G15" s="81">
        <v>96853.21</v>
      </c>
      <c r="H15" s="83"/>
      <c r="I15" s="78"/>
      <c r="J15" s="79"/>
      <c r="K15" s="79"/>
      <c r="L15" s="79"/>
    </row>
    <row r="16">
      <c r="A16" s="80" t="s">
        <v>23</v>
      </c>
      <c r="B16" s="79" t="s">
        <v>17</v>
      </c>
      <c r="C16" s="79"/>
      <c r="D16" s="79"/>
      <c r="E16" s="79"/>
      <c r="F16" s="82"/>
      <c r="G16" s="81">
        <v>8998.17</v>
      </c>
      <c r="H16" s="83"/>
      <c r="I16" s="78"/>
      <c r="J16" s="78"/>
      <c r="K16" s="78"/>
      <c r="L16" s="78"/>
    </row>
    <row r="17">
      <c r="A17" s="92" t="s">
        <v>185</v>
      </c>
      <c r="B17" s="79" t="s">
        <v>17</v>
      </c>
      <c r="C17" s="79"/>
      <c r="D17" s="79"/>
      <c r="E17" s="79"/>
      <c r="F17" s="82"/>
      <c r="G17" s="81">
        <v>4601.25</v>
      </c>
      <c r="H17" s="83"/>
      <c r="I17" s="78"/>
      <c r="J17" s="78"/>
      <c r="K17" s="78"/>
      <c r="L17" s="78"/>
    </row>
    <row r="18">
      <c r="A18" s="80" t="s">
        <v>25</v>
      </c>
      <c r="B18" s="79" t="s">
        <v>17</v>
      </c>
      <c r="C18" s="79"/>
      <c r="D18" s="79"/>
      <c r="E18" s="79"/>
      <c r="F18" s="82"/>
      <c r="G18" s="81">
        <v>37120.44</v>
      </c>
      <c r="H18" s="83"/>
      <c r="I18" s="78"/>
      <c r="J18" s="78"/>
      <c r="K18" s="78"/>
      <c r="L18" s="78"/>
    </row>
    <row r="19">
      <c r="A19" s="80" t="s">
        <v>7</v>
      </c>
      <c r="B19" s="79" t="s">
        <v>26</v>
      </c>
      <c r="C19" s="79"/>
      <c r="D19" s="81">
        <v>22708.06</v>
      </c>
      <c r="E19" s="79"/>
      <c r="F19" s="82"/>
      <c r="G19" s="79"/>
      <c r="H19" s="83"/>
      <c r="I19" s="78"/>
      <c r="J19" s="78"/>
      <c r="K19" s="78"/>
      <c r="L19" s="67"/>
    </row>
    <row r="20">
      <c r="A20" s="80" t="s">
        <v>27</v>
      </c>
      <c r="B20" s="79" t="s">
        <v>186</v>
      </c>
      <c r="D20" s="79"/>
      <c r="E20" s="79"/>
      <c r="F20" s="82"/>
      <c r="G20" s="67"/>
      <c r="H20" s="85">
        <v>61154.15</v>
      </c>
      <c r="I20" s="78"/>
      <c r="J20" s="93" t="s">
        <v>187</v>
      </c>
      <c r="K20" s="78"/>
      <c r="L20" s="67"/>
    </row>
    <row r="21">
      <c r="A21" s="80" t="s">
        <v>29</v>
      </c>
      <c r="B21" s="79" t="s">
        <v>30</v>
      </c>
      <c r="C21" s="79"/>
      <c r="D21" s="79"/>
      <c r="E21" s="79"/>
      <c r="F21" s="83"/>
      <c r="G21" s="81">
        <v>82535.5</v>
      </c>
      <c r="H21" s="83"/>
      <c r="I21" s="79"/>
      <c r="J21" s="94" t="s">
        <v>188</v>
      </c>
      <c r="K21" s="79"/>
      <c r="L21" s="79"/>
    </row>
    <row r="22">
      <c r="A22" s="87" t="s">
        <v>7</v>
      </c>
      <c r="B22" s="89" t="s">
        <v>31</v>
      </c>
      <c r="C22" s="95"/>
      <c r="D22" s="96">
        <v>40990.84</v>
      </c>
      <c r="E22" s="89"/>
      <c r="F22" s="91"/>
      <c r="G22" s="89"/>
      <c r="H22" s="91"/>
      <c r="I22" s="79"/>
      <c r="J22" s="79"/>
      <c r="K22" s="79"/>
      <c r="L22" s="79"/>
    </row>
    <row r="23">
      <c r="A23" s="79"/>
      <c r="B23" s="79"/>
      <c r="C23" s="79"/>
      <c r="D23" s="79"/>
      <c r="E23" s="79"/>
      <c r="F23" s="79"/>
      <c r="G23" s="79"/>
      <c r="H23" s="83"/>
      <c r="I23" s="79">
        <f>SUM(D13:H22)</f>
        <v>384326.87</v>
      </c>
      <c r="J23" s="79"/>
      <c r="K23" s="79"/>
      <c r="L23" s="79"/>
    </row>
    <row r="24">
      <c r="A24" s="74" t="s">
        <v>189</v>
      </c>
      <c r="B24" s="75"/>
      <c r="C24" s="75"/>
      <c r="D24" s="75"/>
      <c r="E24" s="75"/>
      <c r="F24" s="77"/>
      <c r="G24" s="75"/>
      <c r="H24" s="77"/>
      <c r="I24" s="79"/>
      <c r="J24" s="79"/>
      <c r="K24" s="79"/>
      <c r="L24" s="79"/>
    </row>
    <row r="25">
      <c r="A25" s="80" t="s">
        <v>10</v>
      </c>
      <c r="B25" s="79" t="s">
        <v>33</v>
      </c>
      <c r="D25" s="81">
        <v>201669.64</v>
      </c>
      <c r="E25" s="79"/>
      <c r="F25" s="83"/>
      <c r="G25" s="79"/>
      <c r="H25" s="83"/>
      <c r="I25" s="79"/>
      <c r="J25" s="79"/>
      <c r="K25" s="79"/>
      <c r="L25" s="79"/>
    </row>
    <row r="26">
      <c r="A26" s="80" t="s">
        <v>12</v>
      </c>
      <c r="B26" s="79" t="s">
        <v>34</v>
      </c>
      <c r="D26" s="79"/>
      <c r="E26" s="79"/>
      <c r="F26" s="85">
        <v>3389.26</v>
      </c>
      <c r="G26" s="79"/>
      <c r="H26" s="83"/>
      <c r="I26" s="86" t="s">
        <v>181</v>
      </c>
      <c r="J26" s="79"/>
      <c r="K26" s="79"/>
      <c r="L26" s="79"/>
    </row>
    <row r="27">
      <c r="A27" s="80" t="s">
        <v>35</v>
      </c>
      <c r="B27" s="79" t="s">
        <v>36</v>
      </c>
      <c r="C27" s="79"/>
      <c r="D27" s="81">
        <v>11.13</v>
      </c>
      <c r="E27" s="79"/>
      <c r="F27" s="83"/>
      <c r="G27" s="79"/>
      <c r="H27" s="83"/>
      <c r="I27" s="79"/>
      <c r="J27" s="79"/>
      <c r="K27" s="79"/>
      <c r="L27" s="79"/>
    </row>
    <row r="28">
      <c r="A28" s="80" t="s">
        <v>7</v>
      </c>
      <c r="B28" s="79" t="s">
        <v>37</v>
      </c>
      <c r="C28" s="79"/>
      <c r="D28" s="81">
        <v>14534.2</v>
      </c>
      <c r="E28" s="79"/>
      <c r="F28" s="83"/>
      <c r="G28" s="79"/>
      <c r="H28" s="83"/>
      <c r="I28" s="79"/>
      <c r="J28" s="79"/>
      <c r="K28" s="79"/>
      <c r="L28" s="79"/>
    </row>
    <row r="29">
      <c r="A29" s="87" t="s">
        <v>7</v>
      </c>
      <c r="B29" s="89" t="s">
        <v>26</v>
      </c>
      <c r="C29" s="89"/>
      <c r="D29" s="96">
        <v>20000.0</v>
      </c>
      <c r="E29" s="89"/>
      <c r="F29" s="91"/>
      <c r="G29" s="89"/>
      <c r="H29" s="91"/>
      <c r="I29" s="79"/>
    </row>
    <row r="30">
      <c r="A30" s="79"/>
      <c r="B30" s="79"/>
      <c r="C30" s="79"/>
      <c r="D30" s="79"/>
      <c r="E30" s="79"/>
      <c r="F30" s="79"/>
      <c r="G30" s="79"/>
      <c r="H30" s="83"/>
      <c r="I30" s="79">
        <f>SUM(D24:H29)</f>
        <v>239604.23</v>
      </c>
      <c r="J30" s="94">
        <v>205000.0</v>
      </c>
      <c r="K30" s="79">
        <f>J30+I30</f>
        <v>444604.23</v>
      </c>
      <c r="L30" s="79"/>
    </row>
    <row r="31">
      <c r="A31" s="74" t="s">
        <v>190</v>
      </c>
      <c r="B31" s="75"/>
      <c r="C31" s="75"/>
      <c r="D31" s="75"/>
      <c r="E31" s="75"/>
      <c r="F31" s="77"/>
      <c r="G31" s="75"/>
      <c r="H31" s="77"/>
      <c r="I31" s="79"/>
      <c r="J31" s="79"/>
      <c r="K31" s="79"/>
      <c r="L31" s="79"/>
    </row>
    <row r="32">
      <c r="A32" s="80" t="s">
        <v>10</v>
      </c>
      <c r="B32" s="79" t="s">
        <v>41</v>
      </c>
      <c r="D32" s="81">
        <v>317608.99</v>
      </c>
      <c r="E32" s="79"/>
      <c r="F32" s="83"/>
      <c r="G32" s="79"/>
      <c r="H32" s="83"/>
      <c r="I32" s="79"/>
      <c r="J32" s="79"/>
      <c r="K32" s="79"/>
      <c r="L32" s="79"/>
    </row>
    <row r="33">
      <c r="A33" s="80" t="s">
        <v>7</v>
      </c>
      <c r="B33" s="79" t="s">
        <v>37</v>
      </c>
      <c r="C33" s="79"/>
      <c r="D33" s="81">
        <v>34419.09</v>
      </c>
      <c r="E33" s="79"/>
      <c r="F33" s="83"/>
      <c r="G33" s="79"/>
      <c r="H33" s="83"/>
      <c r="I33" s="79"/>
      <c r="J33" s="79"/>
      <c r="K33" s="79"/>
      <c r="L33" s="79"/>
    </row>
    <row r="34">
      <c r="A34" s="80" t="s">
        <v>7</v>
      </c>
      <c r="B34" s="79" t="s">
        <v>42</v>
      </c>
      <c r="C34" s="79"/>
      <c r="D34" s="81">
        <v>273.57</v>
      </c>
      <c r="E34" s="79"/>
      <c r="F34" s="83"/>
      <c r="G34" s="79"/>
      <c r="H34" s="83"/>
      <c r="I34" s="79"/>
      <c r="J34" s="79"/>
      <c r="K34" s="79"/>
      <c r="L34" s="79"/>
    </row>
    <row r="35">
      <c r="A35" s="80" t="s">
        <v>43</v>
      </c>
      <c r="B35" s="79" t="s">
        <v>44</v>
      </c>
      <c r="D35" s="81">
        <v>86278.52</v>
      </c>
      <c r="E35" s="79"/>
      <c r="F35" s="83"/>
      <c r="G35" s="79"/>
      <c r="H35" s="83"/>
      <c r="I35" s="79"/>
      <c r="J35" s="79"/>
      <c r="K35" s="79"/>
      <c r="L35" s="79"/>
    </row>
    <row r="36">
      <c r="A36" s="80" t="s">
        <v>35</v>
      </c>
      <c r="B36" s="79" t="s">
        <v>45</v>
      </c>
      <c r="D36" s="81">
        <v>22.39</v>
      </c>
      <c r="E36" s="79"/>
      <c r="F36" s="83"/>
      <c r="G36" s="79"/>
      <c r="H36" s="83"/>
      <c r="I36" s="79"/>
      <c r="J36" s="79"/>
      <c r="K36" s="79"/>
      <c r="L36" s="79"/>
    </row>
    <row r="37">
      <c r="A37" s="80" t="s">
        <v>12</v>
      </c>
      <c r="B37" s="79" t="s">
        <v>34</v>
      </c>
      <c r="D37" s="79"/>
      <c r="E37" s="79"/>
      <c r="F37" s="85">
        <v>2023.75</v>
      </c>
      <c r="G37" s="79"/>
      <c r="H37" s="83"/>
      <c r="I37" s="86" t="s">
        <v>181</v>
      </c>
      <c r="J37" s="79"/>
      <c r="K37" s="79"/>
      <c r="L37" s="79"/>
    </row>
    <row r="38">
      <c r="A38" s="80" t="s">
        <v>46</v>
      </c>
      <c r="B38" s="79"/>
      <c r="C38" s="79"/>
      <c r="D38" s="81">
        <v>999.26</v>
      </c>
      <c r="E38" s="79"/>
      <c r="F38" s="83"/>
      <c r="G38" s="79"/>
      <c r="H38" s="83"/>
      <c r="I38" s="79"/>
      <c r="J38" s="79"/>
      <c r="K38" s="79"/>
      <c r="L38" s="79"/>
    </row>
    <row r="39">
      <c r="A39" s="80" t="s">
        <v>7</v>
      </c>
      <c r="B39" s="79" t="s">
        <v>48</v>
      </c>
      <c r="D39" s="81">
        <v>19001.02</v>
      </c>
      <c r="E39" s="79"/>
      <c r="F39" s="83"/>
      <c r="G39" s="79"/>
      <c r="H39" s="83"/>
      <c r="I39" s="79"/>
      <c r="J39" s="79"/>
      <c r="K39" s="79"/>
      <c r="L39" s="79"/>
    </row>
    <row r="40">
      <c r="A40" s="80" t="s">
        <v>7</v>
      </c>
      <c r="B40" s="79" t="s">
        <v>26</v>
      </c>
      <c r="C40" s="79"/>
      <c r="D40" s="81">
        <v>26272.83</v>
      </c>
      <c r="E40" s="79"/>
      <c r="F40" s="83"/>
      <c r="G40" s="79"/>
      <c r="H40" s="83"/>
      <c r="I40" s="79"/>
      <c r="J40" s="79"/>
      <c r="K40" s="79"/>
      <c r="L40" s="79"/>
    </row>
    <row r="41">
      <c r="A41" s="87" t="s">
        <v>49</v>
      </c>
      <c r="B41" s="89" t="s">
        <v>191</v>
      </c>
      <c r="C41" s="95"/>
      <c r="D41" s="89"/>
      <c r="E41" s="89"/>
      <c r="F41" s="91"/>
      <c r="G41" s="96">
        <v>11725.0</v>
      </c>
      <c r="H41" s="91"/>
      <c r="I41" s="79"/>
      <c r="J41" s="79"/>
      <c r="K41" s="79"/>
      <c r="L41" s="79"/>
    </row>
    <row r="42">
      <c r="A42" s="79"/>
      <c r="B42" s="79"/>
      <c r="C42" s="79"/>
      <c r="D42" s="79"/>
      <c r="E42" s="79"/>
      <c r="F42" s="79"/>
      <c r="G42" s="79"/>
      <c r="H42" s="83"/>
      <c r="I42" s="79">
        <f>SUM(D31:G41)</f>
        <v>498624.42</v>
      </c>
      <c r="J42" s="94">
        <v>502082.91</v>
      </c>
      <c r="K42" s="79">
        <f>J42-I42</f>
        <v>3458.49</v>
      </c>
      <c r="L42" s="79"/>
    </row>
    <row r="43">
      <c r="A43" s="97" t="s">
        <v>192</v>
      </c>
      <c r="B43" s="75"/>
      <c r="C43" s="75"/>
      <c r="D43" s="75"/>
      <c r="E43" s="75"/>
      <c r="F43" s="77"/>
      <c r="G43" s="75"/>
      <c r="H43" s="77"/>
      <c r="I43" s="79"/>
      <c r="J43" s="79"/>
      <c r="K43" s="79"/>
      <c r="L43" s="79"/>
    </row>
    <row r="44">
      <c r="A44" s="80" t="s">
        <v>10</v>
      </c>
      <c r="B44" s="79" t="s">
        <v>41</v>
      </c>
      <c r="D44" s="81">
        <v>302190.2</v>
      </c>
      <c r="E44" s="79"/>
      <c r="F44" s="83"/>
      <c r="G44" s="79"/>
      <c r="H44" s="83"/>
      <c r="I44" s="79"/>
      <c r="J44" s="79"/>
      <c r="K44" s="79"/>
      <c r="L44" s="79"/>
    </row>
    <row r="45">
      <c r="A45" s="80" t="s">
        <v>7</v>
      </c>
      <c r="B45" s="79" t="s">
        <v>52</v>
      </c>
      <c r="C45" s="79"/>
      <c r="D45" s="81">
        <v>103785.27</v>
      </c>
      <c r="E45" s="79"/>
      <c r="F45" s="83"/>
      <c r="G45" s="79"/>
      <c r="H45" s="83"/>
      <c r="I45" s="79"/>
      <c r="J45" s="79"/>
      <c r="K45" s="79"/>
      <c r="L45" s="79"/>
    </row>
    <row r="46">
      <c r="A46" s="80" t="s">
        <v>7</v>
      </c>
      <c r="B46" s="79" t="s">
        <v>26</v>
      </c>
      <c r="C46" s="79"/>
      <c r="D46" s="81">
        <v>26365.15</v>
      </c>
      <c r="E46" s="79"/>
      <c r="F46" s="83"/>
      <c r="G46" s="79"/>
      <c r="H46" s="83"/>
      <c r="I46" s="79"/>
      <c r="J46" s="79"/>
      <c r="K46" s="79"/>
      <c r="L46" s="79"/>
    </row>
    <row r="47">
      <c r="A47" s="80" t="s">
        <v>43</v>
      </c>
      <c r="B47" s="79" t="s">
        <v>53</v>
      </c>
      <c r="C47" s="79"/>
      <c r="D47" s="81">
        <v>34120.0</v>
      </c>
      <c r="E47" s="79"/>
      <c r="F47" s="83"/>
      <c r="G47" s="79"/>
      <c r="H47" s="83"/>
      <c r="I47" s="79"/>
      <c r="J47" s="79"/>
      <c r="K47" s="79"/>
      <c r="L47" s="79"/>
    </row>
    <row r="48">
      <c r="A48" s="80" t="s">
        <v>54</v>
      </c>
      <c r="B48" s="79"/>
      <c r="C48" s="79"/>
      <c r="D48" s="79"/>
      <c r="E48" s="81">
        <v>19125.0</v>
      </c>
      <c r="F48" s="83"/>
      <c r="G48" s="98">
        <v>68440.0</v>
      </c>
      <c r="H48" s="83"/>
      <c r="I48" s="99" t="s">
        <v>193</v>
      </c>
      <c r="J48" s="79"/>
      <c r="K48" s="79"/>
      <c r="L48" s="79"/>
    </row>
    <row r="49">
      <c r="A49" s="87" t="s">
        <v>55</v>
      </c>
      <c r="B49" s="89"/>
      <c r="C49" s="89"/>
      <c r="D49" s="96">
        <v>605.0</v>
      </c>
      <c r="E49" s="89"/>
      <c r="F49" s="91"/>
      <c r="G49" s="89"/>
      <c r="H49" s="91"/>
      <c r="I49" s="79"/>
      <c r="J49" s="79"/>
      <c r="K49" s="79"/>
      <c r="L49" s="79"/>
    </row>
    <row r="50">
      <c r="A50" s="79"/>
      <c r="B50" s="79"/>
      <c r="C50" s="79"/>
      <c r="D50" s="79"/>
      <c r="E50" s="79"/>
      <c r="F50" s="79"/>
      <c r="G50" s="79"/>
      <c r="H50" s="83"/>
      <c r="I50" s="79">
        <f>SUM(D43:G49)</f>
        <v>554630.62</v>
      </c>
      <c r="J50" s="79"/>
      <c r="K50" s="79"/>
      <c r="L50" s="79"/>
    </row>
    <row r="51">
      <c r="A51" s="97" t="s">
        <v>194</v>
      </c>
      <c r="B51" s="75"/>
      <c r="C51" s="75"/>
      <c r="D51" s="75"/>
      <c r="E51" s="75"/>
      <c r="F51" s="77"/>
      <c r="G51" s="75"/>
      <c r="H51" s="77"/>
      <c r="I51" s="79"/>
      <c r="J51" s="79"/>
      <c r="K51" s="79"/>
      <c r="L51" s="79"/>
    </row>
    <row r="52">
      <c r="A52" s="80" t="s">
        <v>195</v>
      </c>
      <c r="B52" s="79" t="s">
        <v>58</v>
      </c>
      <c r="D52" s="81">
        <v>643399.5</v>
      </c>
      <c r="E52" s="79"/>
      <c r="F52" s="83"/>
      <c r="G52" s="79"/>
      <c r="H52" s="83"/>
      <c r="I52" s="79"/>
      <c r="J52" s="79"/>
      <c r="K52" s="79"/>
      <c r="L52" s="79"/>
    </row>
    <row r="53">
      <c r="A53" s="80" t="s">
        <v>195</v>
      </c>
      <c r="B53" s="79" t="s">
        <v>59</v>
      </c>
      <c r="D53" s="81">
        <v>204106.45</v>
      </c>
      <c r="E53" s="79"/>
      <c r="F53" s="83"/>
      <c r="G53" s="79"/>
      <c r="H53" s="83"/>
      <c r="I53" s="79"/>
      <c r="J53" s="79"/>
      <c r="K53" s="79"/>
      <c r="L53" s="79"/>
    </row>
    <row r="54">
      <c r="A54" s="80" t="s">
        <v>60</v>
      </c>
      <c r="B54" s="79" t="s">
        <v>61</v>
      </c>
      <c r="D54" s="81">
        <v>26672.04</v>
      </c>
      <c r="E54" s="79"/>
      <c r="F54" s="83"/>
      <c r="G54" s="79"/>
      <c r="H54" s="83"/>
      <c r="I54" s="79"/>
      <c r="J54" s="79"/>
      <c r="K54" s="79"/>
      <c r="L54" s="79"/>
    </row>
    <row r="55">
      <c r="A55" s="80" t="s">
        <v>62</v>
      </c>
      <c r="B55" s="79" t="s">
        <v>63</v>
      </c>
      <c r="D55" s="79"/>
      <c r="E55" s="81">
        <v>34646.0</v>
      </c>
      <c r="F55" s="83"/>
      <c r="G55" s="79"/>
      <c r="H55" s="83"/>
      <c r="I55" s="99" t="s">
        <v>193</v>
      </c>
      <c r="J55" s="94" t="s">
        <v>196</v>
      </c>
      <c r="K55" s="79"/>
      <c r="L55" s="79"/>
    </row>
    <row r="56">
      <c r="A56" s="80" t="s">
        <v>55</v>
      </c>
      <c r="B56" s="79"/>
      <c r="C56" s="79"/>
      <c r="D56" s="81">
        <v>450.0</v>
      </c>
      <c r="E56" s="79"/>
      <c r="F56" s="83"/>
      <c r="G56" s="79"/>
      <c r="H56" s="83"/>
      <c r="I56" s="79"/>
      <c r="J56" s="79"/>
      <c r="K56" s="79"/>
      <c r="L56" s="79"/>
    </row>
    <row r="57">
      <c r="A57" s="80" t="s">
        <v>64</v>
      </c>
      <c r="B57" s="79" t="s">
        <v>65</v>
      </c>
      <c r="D57" s="81">
        <v>4000.0</v>
      </c>
      <c r="E57" s="79"/>
      <c r="F57" s="83"/>
      <c r="G57" s="79"/>
      <c r="H57" s="83"/>
      <c r="I57" s="79"/>
      <c r="J57" s="79"/>
      <c r="K57" s="79"/>
      <c r="L57" s="79"/>
    </row>
    <row r="58">
      <c r="A58" s="80"/>
      <c r="B58" s="79"/>
      <c r="C58" s="79"/>
      <c r="D58" s="79"/>
      <c r="E58" s="79"/>
      <c r="F58" s="83"/>
      <c r="G58" s="79"/>
      <c r="H58" s="83"/>
      <c r="I58" s="79"/>
      <c r="J58" s="79"/>
      <c r="K58" s="79"/>
      <c r="L58" s="79"/>
    </row>
    <row r="59">
      <c r="A59" s="80"/>
      <c r="B59" s="79"/>
      <c r="C59" s="79"/>
      <c r="D59" s="79"/>
      <c r="E59" s="79"/>
      <c r="F59" s="83"/>
      <c r="G59" s="79"/>
      <c r="H59" s="83"/>
      <c r="I59" s="79"/>
      <c r="J59" s="79"/>
      <c r="K59" s="79"/>
      <c r="L59" s="79"/>
    </row>
    <row r="60">
      <c r="A60" s="87"/>
      <c r="B60" s="89"/>
      <c r="C60" s="89"/>
      <c r="D60" s="89"/>
      <c r="E60" s="89"/>
      <c r="F60" s="91"/>
      <c r="G60" s="89"/>
      <c r="H60" s="91"/>
      <c r="I60" s="79"/>
      <c r="J60" s="79"/>
      <c r="K60" s="79"/>
      <c r="L60" s="79"/>
    </row>
    <row r="61">
      <c r="A61" s="79"/>
      <c r="B61" s="79"/>
      <c r="C61" s="79"/>
      <c r="D61" s="79"/>
      <c r="E61" s="79"/>
      <c r="F61" s="79"/>
      <c r="G61" s="79"/>
      <c r="H61" s="83"/>
      <c r="I61" s="79">
        <f>SUM(D51:H60)</f>
        <v>913273.99</v>
      </c>
      <c r="J61" s="94">
        <v>918973.22</v>
      </c>
      <c r="K61" s="79">
        <f>J61-I61</f>
        <v>5699.23</v>
      </c>
      <c r="L61" s="79"/>
    </row>
    <row r="62">
      <c r="A62" s="100" t="s">
        <v>66</v>
      </c>
      <c r="B62" s="75"/>
      <c r="C62" s="75"/>
      <c r="D62" s="75"/>
      <c r="E62" s="75"/>
      <c r="F62" s="77"/>
      <c r="G62" s="75"/>
      <c r="H62" s="77"/>
      <c r="I62" s="79"/>
      <c r="J62" s="79"/>
      <c r="K62" s="79"/>
      <c r="L62" s="79"/>
    </row>
    <row r="63">
      <c r="A63" s="80" t="s">
        <v>67</v>
      </c>
      <c r="B63" s="79" t="s">
        <v>68</v>
      </c>
      <c r="D63" s="81">
        <v>12332.97</v>
      </c>
      <c r="E63" s="79"/>
      <c r="F63" s="83"/>
      <c r="G63" s="79"/>
      <c r="H63" s="83"/>
      <c r="I63" s="79"/>
      <c r="J63" s="79"/>
      <c r="K63" s="79"/>
      <c r="L63" s="79"/>
    </row>
    <row r="64">
      <c r="A64" s="80" t="s">
        <v>69</v>
      </c>
      <c r="B64" s="79" t="s">
        <v>70</v>
      </c>
      <c r="D64" s="79"/>
      <c r="E64" s="81">
        <v>14680.67</v>
      </c>
      <c r="F64" s="83"/>
      <c r="G64" s="79"/>
      <c r="H64" s="83"/>
      <c r="I64" s="99" t="s">
        <v>193</v>
      </c>
      <c r="J64" s="79"/>
      <c r="K64" s="79"/>
      <c r="L64" s="79"/>
    </row>
    <row r="65">
      <c r="A65" s="80" t="s">
        <v>69</v>
      </c>
      <c r="B65" s="79" t="s">
        <v>71</v>
      </c>
      <c r="D65" s="79"/>
      <c r="E65" s="79"/>
      <c r="F65" s="83"/>
      <c r="G65" s="98">
        <v>7000.0</v>
      </c>
      <c r="H65" s="83"/>
      <c r="I65" s="79"/>
      <c r="J65" s="79"/>
      <c r="K65" s="79"/>
      <c r="L65" s="79"/>
    </row>
    <row r="66">
      <c r="A66" s="80" t="s">
        <v>10</v>
      </c>
      <c r="B66" s="79" t="s">
        <v>72</v>
      </c>
      <c r="D66" s="81">
        <v>346987.0</v>
      </c>
      <c r="E66" s="79"/>
      <c r="F66" s="83"/>
      <c r="G66" s="79"/>
      <c r="H66" s="83"/>
      <c r="I66" s="79"/>
      <c r="J66" s="79"/>
      <c r="K66" s="79"/>
      <c r="L66" s="79"/>
    </row>
    <row r="67">
      <c r="A67" s="80" t="s">
        <v>73</v>
      </c>
      <c r="B67" s="79" t="s">
        <v>74</v>
      </c>
      <c r="D67" s="79"/>
      <c r="E67" s="79"/>
      <c r="F67" s="83"/>
      <c r="G67" s="81">
        <v>123873.0</v>
      </c>
      <c r="H67" s="83"/>
      <c r="I67" s="79"/>
      <c r="J67" s="79"/>
      <c r="K67" s="79"/>
      <c r="L67" s="79"/>
    </row>
    <row r="68">
      <c r="A68" s="80" t="s">
        <v>75</v>
      </c>
      <c r="B68" s="79" t="s">
        <v>76</v>
      </c>
      <c r="D68" s="81">
        <v>37020.0</v>
      </c>
      <c r="E68" s="79"/>
      <c r="F68" s="83"/>
      <c r="G68" s="79"/>
      <c r="H68" s="83"/>
      <c r="I68" s="79"/>
      <c r="J68" s="79"/>
      <c r="K68" s="79"/>
      <c r="L68" s="79"/>
    </row>
    <row r="69">
      <c r="A69" s="80" t="s">
        <v>77</v>
      </c>
      <c r="B69" s="79"/>
      <c r="C69" s="79"/>
      <c r="D69" s="81">
        <v>450.0</v>
      </c>
      <c r="E69" s="79"/>
      <c r="F69" s="83"/>
      <c r="G69" s="79"/>
      <c r="H69" s="83"/>
      <c r="I69" s="79"/>
      <c r="J69" s="79"/>
      <c r="K69" s="79"/>
      <c r="L69" s="79"/>
    </row>
    <row r="70">
      <c r="A70" s="80" t="s">
        <v>78</v>
      </c>
      <c r="B70" s="79" t="s">
        <v>79</v>
      </c>
      <c r="D70" s="79"/>
      <c r="E70" s="81">
        <v>2430.0</v>
      </c>
      <c r="F70" s="83"/>
      <c r="G70" s="79"/>
      <c r="H70" s="83"/>
      <c r="I70" s="79"/>
      <c r="J70" s="79"/>
      <c r="K70" s="79"/>
      <c r="L70" s="79"/>
    </row>
    <row r="71">
      <c r="A71" s="80" t="s">
        <v>80</v>
      </c>
      <c r="B71" s="79" t="s">
        <v>81</v>
      </c>
      <c r="C71" s="79"/>
      <c r="D71" s="79"/>
      <c r="E71" s="79"/>
      <c r="F71" s="83"/>
      <c r="G71" s="98">
        <v>52500.0</v>
      </c>
      <c r="H71" s="83"/>
      <c r="I71" s="79"/>
      <c r="J71" s="79"/>
      <c r="K71" s="79"/>
      <c r="L71" s="79"/>
    </row>
    <row r="72">
      <c r="A72" s="80" t="s">
        <v>12</v>
      </c>
      <c r="B72" s="79" t="s">
        <v>82</v>
      </c>
      <c r="D72" s="79"/>
      <c r="F72" s="85">
        <v>3312.5</v>
      </c>
      <c r="G72" s="79"/>
      <c r="H72" s="83"/>
      <c r="I72" s="79"/>
      <c r="J72" s="79"/>
      <c r="K72" s="79"/>
      <c r="L72" s="79"/>
    </row>
    <row r="73">
      <c r="A73" s="80" t="s">
        <v>83</v>
      </c>
      <c r="B73" s="79" t="s">
        <v>84</v>
      </c>
      <c r="D73" s="79"/>
      <c r="E73" s="79"/>
      <c r="F73" s="83"/>
      <c r="G73" s="81">
        <v>26767.75</v>
      </c>
      <c r="H73" s="83"/>
      <c r="I73" s="79"/>
      <c r="J73" s="79"/>
      <c r="K73" s="79"/>
      <c r="L73" s="79"/>
    </row>
    <row r="74">
      <c r="A74" s="80" t="s">
        <v>85</v>
      </c>
      <c r="B74" s="79" t="s">
        <v>86</v>
      </c>
      <c r="D74" s="79"/>
      <c r="E74" s="79"/>
      <c r="F74" s="83"/>
      <c r="G74" s="79"/>
      <c r="H74" s="83"/>
      <c r="I74" s="79"/>
      <c r="J74" s="79"/>
      <c r="K74" s="79"/>
      <c r="L74" s="79"/>
    </row>
    <row r="75">
      <c r="A75" s="80"/>
      <c r="B75" s="79"/>
      <c r="C75" s="79"/>
      <c r="D75" s="79"/>
      <c r="E75" s="79"/>
      <c r="F75" s="83"/>
      <c r="G75" s="79"/>
      <c r="H75" s="83"/>
      <c r="I75" s="79"/>
      <c r="J75" s="79"/>
      <c r="K75" s="79"/>
      <c r="L75" s="79"/>
    </row>
    <row r="76">
      <c r="A76" s="80"/>
      <c r="B76" s="79"/>
      <c r="C76" s="79"/>
      <c r="D76" s="79"/>
      <c r="E76" s="79"/>
      <c r="F76" s="83"/>
      <c r="G76" s="79"/>
      <c r="H76" s="83"/>
      <c r="I76" s="79"/>
      <c r="J76" s="79"/>
      <c r="K76" s="79"/>
      <c r="L76" s="79"/>
    </row>
    <row r="77">
      <c r="A77" s="87"/>
      <c r="B77" s="89"/>
      <c r="C77" s="89"/>
      <c r="D77" s="89"/>
      <c r="E77" s="89"/>
      <c r="F77" s="91"/>
      <c r="G77" s="89"/>
      <c r="H77" s="91"/>
      <c r="I77" s="79"/>
      <c r="J77" s="79"/>
      <c r="K77" s="79"/>
      <c r="L77" s="79"/>
    </row>
    <row r="78">
      <c r="A78" s="79"/>
      <c r="B78" s="79"/>
      <c r="C78" s="79"/>
      <c r="D78" s="79"/>
      <c r="E78" s="79"/>
      <c r="F78" s="79"/>
      <c r="G78" s="79"/>
      <c r="H78" s="83"/>
      <c r="I78" s="81">
        <f>SUM(D63:H77)</f>
        <v>627353.89</v>
      </c>
      <c r="J78" s="81">
        <f>G71+G65+G67</f>
        <v>183373</v>
      </c>
      <c r="K78" s="79"/>
      <c r="L78" s="79"/>
    </row>
    <row r="79">
      <c r="A79" s="101" t="s">
        <v>87</v>
      </c>
      <c r="B79" s="75"/>
      <c r="C79" s="75"/>
      <c r="D79" s="75"/>
      <c r="E79" s="75"/>
      <c r="F79" s="77"/>
      <c r="G79" s="75"/>
      <c r="H79" s="77"/>
      <c r="I79" s="79"/>
      <c r="J79" s="79"/>
      <c r="K79" s="79"/>
      <c r="L79" s="79"/>
    </row>
    <row r="80">
      <c r="A80" s="92" t="s">
        <v>88</v>
      </c>
      <c r="B80" s="79"/>
      <c r="C80" s="79"/>
      <c r="D80" s="79"/>
      <c r="E80" s="79"/>
      <c r="F80" s="83"/>
      <c r="G80" s="79"/>
      <c r="H80" s="83"/>
      <c r="I80" s="79"/>
      <c r="J80" s="79"/>
      <c r="K80" s="79"/>
      <c r="L80" s="79"/>
    </row>
    <row r="81">
      <c r="A81" s="102" t="s">
        <v>197</v>
      </c>
      <c r="B81" s="103" t="s">
        <v>91</v>
      </c>
      <c r="D81" s="104">
        <v>188.78</v>
      </c>
      <c r="E81" s="79"/>
      <c r="F81" s="83"/>
      <c r="G81" s="79"/>
      <c r="H81" s="83"/>
      <c r="I81" s="79"/>
      <c r="J81" s="79"/>
      <c r="K81" s="79"/>
      <c r="L81" s="79"/>
    </row>
    <row r="82">
      <c r="A82" s="105"/>
      <c r="B82" s="103" t="s">
        <v>93</v>
      </c>
      <c r="D82" s="104">
        <v>209.67</v>
      </c>
      <c r="E82" s="79"/>
      <c r="F82" s="83"/>
      <c r="G82" s="79"/>
      <c r="H82" s="83"/>
      <c r="I82" s="79"/>
      <c r="J82" s="79"/>
      <c r="K82" s="79"/>
      <c r="L82" s="79"/>
    </row>
    <row r="83">
      <c r="A83" s="105"/>
      <c r="B83" s="103" t="s">
        <v>198</v>
      </c>
      <c r="D83" s="104">
        <v>380.86</v>
      </c>
      <c r="E83" s="79"/>
      <c r="F83" s="83"/>
      <c r="G83" s="79"/>
      <c r="H83" s="83"/>
      <c r="I83" s="79"/>
      <c r="J83" s="79"/>
      <c r="K83" s="79"/>
      <c r="L83" s="79"/>
    </row>
    <row r="84">
      <c r="A84" s="102" t="s">
        <v>96</v>
      </c>
      <c r="B84" s="103" t="s">
        <v>98</v>
      </c>
      <c r="D84" s="67"/>
      <c r="E84" s="79"/>
      <c r="F84" s="106">
        <v>102.5</v>
      </c>
      <c r="G84" s="79"/>
      <c r="H84" s="83"/>
      <c r="I84" s="86" t="s">
        <v>181</v>
      </c>
      <c r="J84" s="79"/>
      <c r="K84" s="79"/>
      <c r="L84" s="79"/>
    </row>
    <row r="85">
      <c r="A85" s="107"/>
      <c r="B85" s="103" t="s">
        <v>98</v>
      </c>
      <c r="D85" s="67"/>
      <c r="E85" s="79"/>
      <c r="F85" s="85">
        <v>986.25</v>
      </c>
      <c r="G85" s="79"/>
      <c r="H85" s="83"/>
      <c r="I85" s="86" t="s">
        <v>181</v>
      </c>
      <c r="J85" s="79"/>
      <c r="K85" s="79"/>
      <c r="L85" s="79"/>
    </row>
    <row r="86">
      <c r="A86" s="107"/>
      <c r="B86" s="103" t="s">
        <v>98</v>
      </c>
      <c r="D86" s="67"/>
      <c r="E86" s="79"/>
      <c r="F86" s="106">
        <v>3572.43</v>
      </c>
      <c r="G86" s="79"/>
      <c r="H86" s="83"/>
      <c r="I86" s="86" t="s">
        <v>181</v>
      </c>
      <c r="J86" s="79"/>
      <c r="K86" s="79"/>
      <c r="L86" s="67"/>
    </row>
    <row r="87">
      <c r="A87" s="107" t="s">
        <v>101</v>
      </c>
      <c r="B87" s="103" t="s">
        <v>103</v>
      </c>
      <c r="C87" s="79"/>
      <c r="D87" s="104">
        <v>1128.23</v>
      </c>
      <c r="E87" s="79"/>
      <c r="F87" s="83"/>
      <c r="G87" s="79"/>
      <c r="H87" s="83"/>
      <c r="I87" s="67"/>
      <c r="J87" s="103"/>
      <c r="K87" s="67"/>
      <c r="L87" s="67"/>
    </row>
    <row r="88">
      <c r="A88" s="107"/>
      <c r="B88" s="103" t="s">
        <v>103</v>
      </c>
      <c r="C88" s="79"/>
      <c r="D88" s="104">
        <v>1128.23</v>
      </c>
      <c r="E88" s="79"/>
      <c r="F88" s="83"/>
      <c r="G88" s="79"/>
      <c r="H88" s="83"/>
      <c r="I88" s="67"/>
      <c r="J88" s="103"/>
      <c r="K88" s="67"/>
      <c r="L88" s="67"/>
    </row>
    <row r="89">
      <c r="A89" s="107"/>
      <c r="B89" s="103" t="s">
        <v>103</v>
      </c>
      <c r="C89" s="79"/>
      <c r="D89" s="104">
        <v>1128.23</v>
      </c>
      <c r="E89" s="79"/>
      <c r="F89" s="83"/>
      <c r="G89" s="79"/>
      <c r="H89" s="83"/>
      <c r="I89" s="67"/>
      <c r="J89" s="103"/>
      <c r="K89" s="67"/>
      <c r="L89" s="67"/>
    </row>
    <row r="90">
      <c r="A90" s="92" t="s">
        <v>10</v>
      </c>
      <c r="B90" s="103" t="s">
        <v>107</v>
      </c>
      <c r="D90" s="104">
        <v>252088.92</v>
      </c>
      <c r="E90" s="79"/>
      <c r="F90" s="83"/>
      <c r="G90" s="79"/>
      <c r="H90" s="83"/>
      <c r="I90" s="67"/>
      <c r="J90" s="103"/>
      <c r="K90" s="67"/>
      <c r="L90" s="67"/>
    </row>
    <row r="91">
      <c r="A91" s="92"/>
      <c r="B91" s="103" t="s">
        <v>107</v>
      </c>
      <c r="D91" s="104">
        <v>108751.67</v>
      </c>
      <c r="E91" s="79"/>
      <c r="F91" s="83"/>
      <c r="G91" s="79"/>
      <c r="H91" s="83"/>
      <c r="I91" s="67"/>
      <c r="J91" s="103"/>
      <c r="K91" s="67"/>
      <c r="L91" s="67"/>
    </row>
    <row r="92">
      <c r="A92" s="92" t="s">
        <v>109</v>
      </c>
      <c r="B92" s="103" t="s">
        <v>111</v>
      </c>
      <c r="D92" s="104">
        <v>9179.42</v>
      </c>
      <c r="E92" s="79"/>
      <c r="F92" s="83"/>
      <c r="G92" s="79"/>
      <c r="H92" s="83"/>
      <c r="I92" s="67"/>
      <c r="J92" s="103"/>
      <c r="K92" s="67"/>
      <c r="L92" s="67"/>
    </row>
    <row r="93">
      <c r="A93" s="80"/>
      <c r="B93" s="103" t="s">
        <v>113</v>
      </c>
      <c r="D93" s="103"/>
      <c r="E93" s="103"/>
      <c r="F93" s="83"/>
      <c r="G93" s="104">
        <v>4874.08</v>
      </c>
      <c r="H93" s="108"/>
      <c r="I93" s="99" t="s">
        <v>199</v>
      </c>
      <c r="J93" s="103"/>
      <c r="K93" s="67"/>
      <c r="L93" s="67"/>
    </row>
    <row r="94">
      <c r="A94" s="80"/>
      <c r="B94" s="103" t="s">
        <v>111</v>
      </c>
      <c r="D94" s="104">
        <v>9179.41</v>
      </c>
      <c r="E94" s="79"/>
      <c r="F94" s="83"/>
      <c r="G94" s="79"/>
      <c r="H94" s="83"/>
      <c r="I94" s="67"/>
      <c r="J94" s="103"/>
      <c r="K94" s="67"/>
      <c r="L94" s="67"/>
    </row>
    <row r="95">
      <c r="A95" s="92" t="s">
        <v>115</v>
      </c>
      <c r="B95" s="109" t="s">
        <v>117</v>
      </c>
      <c r="C95" s="79"/>
      <c r="D95" s="104">
        <v>6136.05</v>
      </c>
      <c r="E95" s="79"/>
      <c r="F95" s="83"/>
      <c r="G95" s="79"/>
      <c r="H95" s="83"/>
      <c r="I95" s="67"/>
      <c r="J95" s="103"/>
      <c r="K95" s="67"/>
      <c r="L95" s="67"/>
    </row>
    <row r="96">
      <c r="A96" s="80"/>
      <c r="B96" s="103" t="s">
        <v>119</v>
      </c>
      <c r="D96" s="67"/>
      <c r="E96" s="110">
        <v>48041.21</v>
      </c>
      <c r="F96" s="83"/>
      <c r="H96" s="108"/>
      <c r="I96" s="67"/>
      <c r="J96" s="94" t="s">
        <v>200</v>
      </c>
      <c r="K96" s="67"/>
      <c r="L96" s="67"/>
    </row>
    <row r="97">
      <c r="A97" s="92" t="s">
        <v>120</v>
      </c>
      <c r="B97" s="103" t="s">
        <v>122</v>
      </c>
      <c r="D97" s="104">
        <v>23950.0</v>
      </c>
      <c r="E97" s="79"/>
      <c r="F97" s="83"/>
      <c r="G97" s="79"/>
      <c r="H97" s="83"/>
      <c r="I97" s="67"/>
      <c r="J97" s="103"/>
      <c r="K97" s="67"/>
      <c r="L97" s="67"/>
    </row>
    <row r="98">
      <c r="A98" s="92" t="s">
        <v>123</v>
      </c>
      <c r="B98" s="103" t="s">
        <v>125</v>
      </c>
      <c r="C98" s="79"/>
      <c r="D98" s="104">
        <v>989.35</v>
      </c>
      <c r="E98" s="79"/>
      <c r="F98" s="83"/>
      <c r="G98" s="79"/>
      <c r="H98" s="83"/>
      <c r="I98" s="67"/>
      <c r="J98" s="103"/>
      <c r="K98" s="67"/>
      <c r="L98" s="67"/>
    </row>
    <row r="99">
      <c r="A99" s="80"/>
      <c r="B99" s="103" t="s">
        <v>125</v>
      </c>
      <c r="C99" s="79"/>
      <c r="D99" s="104">
        <v>963.98</v>
      </c>
      <c r="E99" s="79"/>
      <c r="F99" s="83"/>
      <c r="G99" s="79"/>
      <c r="H99" s="83"/>
      <c r="I99" s="67"/>
      <c r="J99" s="103"/>
      <c r="K99" s="67"/>
      <c r="L99" s="67"/>
    </row>
    <row r="100">
      <c r="A100" s="92"/>
      <c r="B100" s="103" t="s">
        <v>125</v>
      </c>
      <c r="C100" s="79"/>
      <c r="D100" s="104">
        <v>2291.07</v>
      </c>
      <c r="E100" s="79"/>
      <c r="F100" s="83"/>
      <c r="G100" s="79"/>
      <c r="H100" s="83"/>
      <c r="I100" s="67"/>
      <c r="J100" s="103"/>
      <c r="K100" s="67"/>
      <c r="L100" s="67"/>
    </row>
    <row r="101">
      <c r="A101" s="92"/>
      <c r="B101" s="103" t="s">
        <v>125</v>
      </c>
      <c r="C101" s="79"/>
      <c r="D101" s="104">
        <v>304.18</v>
      </c>
      <c r="E101" s="79"/>
      <c r="F101" s="83"/>
      <c r="G101" s="79"/>
      <c r="H101" s="83"/>
      <c r="I101" s="67"/>
      <c r="J101" s="103"/>
      <c r="K101" s="67"/>
      <c r="L101" s="67"/>
    </row>
    <row r="102">
      <c r="A102" s="92"/>
      <c r="B102" s="79"/>
      <c r="C102" s="79"/>
      <c r="D102" s="79"/>
      <c r="E102" s="79"/>
      <c r="F102" s="83"/>
      <c r="G102" s="79"/>
      <c r="H102" s="83"/>
      <c r="I102" s="67"/>
      <c r="J102" s="103"/>
      <c r="K102" s="67"/>
      <c r="L102" s="67"/>
    </row>
    <row r="103">
      <c r="A103" s="111"/>
      <c r="B103" s="89"/>
      <c r="C103" s="89"/>
      <c r="D103" s="89"/>
      <c r="E103" s="89"/>
      <c r="F103" s="91"/>
      <c r="G103" s="89"/>
      <c r="H103" s="91"/>
      <c r="I103" s="67"/>
      <c r="J103" s="103"/>
      <c r="K103" s="67"/>
      <c r="L103" s="67"/>
    </row>
    <row r="104">
      <c r="A104" s="103"/>
      <c r="B104" s="79"/>
      <c r="C104" s="79"/>
      <c r="D104" s="79"/>
      <c r="E104" s="79"/>
      <c r="F104" s="79"/>
      <c r="G104" s="79"/>
      <c r="H104" s="83"/>
      <c r="I104" s="67">
        <f>SUM(D80:H103)</f>
        <v>475574.52</v>
      </c>
      <c r="J104" s="103"/>
      <c r="K104" s="67"/>
      <c r="L104" s="67"/>
    </row>
    <row r="105">
      <c r="A105" s="101" t="s">
        <v>129</v>
      </c>
      <c r="B105" s="75"/>
      <c r="C105" s="75"/>
      <c r="D105" s="75"/>
      <c r="E105" s="75"/>
      <c r="F105" s="77"/>
      <c r="G105" s="75"/>
      <c r="H105" s="77"/>
      <c r="I105" s="67"/>
      <c r="J105" s="67"/>
      <c r="K105" s="67"/>
      <c r="L105" s="67"/>
    </row>
    <row r="106">
      <c r="A106" s="92" t="s">
        <v>130</v>
      </c>
      <c r="B106" s="79"/>
      <c r="C106" s="79"/>
      <c r="D106" s="79"/>
      <c r="E106" s="79"/>
      <c r="F106" s="83"/>
      <c r="G106" s="79"/>
      <c r="H106" s="83"/>
      <c r="I106" s="67"/>
      <c r="J106" s="67"/>
      <c r="K106" s="67"/>
      <c r="L106" s="67"/>
    </row>
    <row r="107">
      <c r="A107" s="107" t="s">
        <v>131</v>
      </c>
      <c r="B107" s="103" t="s">
        <v>132</v>
      </c>
      <c r="D107" s="104">
        <v>1340.0</v>
      </c>
      <c r="E107" s="79"/>
      <c r="F107" s="83"/>
      <c r="G107" s="79"/>
      <c r="H107" s="83"/>
      <c r="I107" s="67"/>
      <c r="J107" s="67"/>
      <c r="K107" s="67"/>
      <c r="L107" s="67"/>
    </row>
    <row r="108">
      <c r="A108" s="107" t="s">
        <v>67</v>
      </c>
      <c r="B108" s="103" t="s">
        <v>125</v>
      </c>
      <c r="C108" s="103"/>
      <c r="D108" s="104">
        <v>352.1</v>
      </c>
      <c r="E108" s="79"/>
      <c r="F108" s="83"/>
      <c r="G108" s="79"/>
      <c r="H108" s="83"/>
      <c r="I108" s="67"/>
      <c r="J108" s="67"/>
      <c r="K108" s="67"/>
      <c r="L108" s="67"/>
    </row>
    <row r="109">
      <c r="A109" s="112"/>
      <c r="B109" s="103" t="s">
        <v>125</v>
      </c>
      <c r="C109" s="103"/>
      <c r="D109" s="104">
        <v>310.68</v>
      </c>
      <c r="E109" s="79"/>
      <c r="F109" s="83"/>
      <c r="G109" s="79"/>
      <c r="H109" s="83"/>
      <c r="I109" s="67"/>
      <c r="J109" s="67"/>
      <c r="K109" s="67"/>
      <c r="L109" s="67"/>
    </row>
    <row r="110">
      <c r="A110" s="112"/>
      <c r="B110" s="103" t="s">
        <v>125</v>
      </c>
      <c r="C110" s="103"/>
      <c r="D110" s="104">
        <v>2916.45</v>
      </c>
      <c r="E110" s="79"/>
      <c r="F110" s="83"/>
      <c r="G110" s="79"/>
      <c r="H110" s="83"/>
      <c r="I110" s="67"/>
      <c r="J110" s="67"/>
      <c r="K110" s="67"/>
      <c r="L110" s="67"/>
    </row>
    <row r="111">
      <c r="A111" s="112"/>
      <c r="B111" s="103" t="s">
        <v>125</v>
      </c>
      <c r="C111" s="103"/>
      <c r="D111" s="104">
        <v>523.7</v>
      </c>
      <c r="E111" s="79"/>
      <c r="F111" s="83"/>
      <c r="G111" s="79"/>
      <c r="H111" s="83"/>
      <c r="I111" s="67"/>
      <c r="J111" s="67"/>
      <c r="K111" s="67"/>
      <c r="L111" s="67"/>
    </row>
    <row r="112">
      <c r="A112" s="112"/>
      <c r="B112" s="103" t="s">
        <v>125</v>
      </c>
      <c r="C112" s="103"/>
      <c r="D112" s="104">
        <v>1048.15</v>
      </c>
      <c r="E112" s="79"/>
      <c r="F112" s="83"/>
      <c r="G112" s="79"/>
      <c r="H112" s="83"/>
      <c r="I112" s="67"/>
      <c r="J112" s="67"/>
      <c r="K112" s="67"/>
      <c r="L112" s="67"/>
    </row>
    <row r="113">
      <c r="A113" s="112"/>
      <c r="B113" s="103" t="s">
        <v>125</v>
      </c>
      <c r="C113" s="103"/>
      <c r="D113" s="104">
        <v>786.03</v>
      </c>
      <c r="E113" s="79"/>
      <c r="F113" s="83"/>
      <c r="G113" s="79"/>
      <c r="H113" s="83"/>
      <c r="I113" s="67"/>
      <c r="J113" s="67"/>
      <c r="K113" s="67"/>
      <c r="L113" s="67"/>
    </row>
    <row r="114">
      <c r="A114" s="107" t="s">
        <v>139</v>
      </c>
      <c r="B114" s="103" t="s">
        <v>141</v>
      </c>
      <c r="C114" s="103"/>
      <c r="D114" s="104">
        <v>204.53</v>
      </c>
      <c r="E114" s="79"/>
      <c r="F114" s="83"/>
      <c r="G114" s="79"/>
      <c r="H114" s="83"/>
      <c r="I114" s="67"/>
      <c r="J114" s="67"/>
      <c r="K114" s="67"/>
      <c r="L114" s="67"/>
    </row>
    <row r="115">
      <c r="A115" s="80"/>
      <c r="B115" s="103" t="s">
        <v>143</v>
      </c>
      <c r="C115" s="103"/>
      <c r="D115" s="104">
        <v>89.44</v>
      </c>
      <c r="E115" s="79"/>
      <c r="F115" s="83"/>
      <c r="G115" s="79"/>
      <c r="H115" s="83"/>
      <c r="I115" s="67"/>
      <c r="J115" s="67"/>
      <c r="K115" s="67"/>
      <c r="L115" s="67"/>
    </row>
    <row r="116">
      <c r="A116" s="92" t="s">
        <v>10</v>
      </c>
      <c r="B116" s="103" t="s">
        <v>107</v>
      </c>
      <c r="D116" s="104">
        <v>98198.01</v>
      </c>
      <c r="E116" s="79"/>
      <c r="F116" s="83"/>
      <c r="G116" s="79"/>
      <c r="H116" s="83"/>
      <c r="I116" s="67"/>
      <c r="J116" s="67"/>
      <c r="K116" s="67"/>
      <c r="L116" s="67"/>
    </row>
    <row r="117">
      <c r="A117" s="80"/>
      <c r="B117" s="103" t="s">
        <v>107</v>
      </c>
      <c r="D117" s="104">
        <v>37611.1</v>
      </c>
      <c r="E117" s="79"/>
      <c r="F117" s="83"/>
      <c r="G117" s="79"/>
      <c r="H117" s="83"/>
      <c r="I117" s="67"/>
      <c r="J117" s="67"/>
      <c r="K117" s="67"/>
      <c r="L117" s="67"/>
    </row>
    <row r="118">
      <c r="A118" s="80"/>
      <c r="B118" s="103" t="s">
        <v>107</v>
      </c>
      <c r="D118" s="104">
        <v>49995.0</v>
      </c>
      <c r="E118" s="79"/>
      <c r="F118" s="83"/>
      <c r="G118" s="79"/>
      <c r="H118" s="83"/>
      <c r="I118" s="67"/>
      <c r="J118" s="67"/>
      <c r="K118" s="67"/>
      <c r="L118" s="67"/>
    </row>
    <row r="119">
      <c r="A119" s="92" t="s">
        <v>147</v>
      </c>
      <c r="B119" s="103" t="s">
        <v>149</v>
      </c>
      <c r="D119" s="67"/>
      <c r="E119" s="104">
        <v>38067.11</v>
      </c>
      <c r="F119" s="83"/>
      <c r="G119" s="79"/>
      <c r="H119" s="83"/>
      <c r="I119" s="99" t="s">
        <v>193</v>
      </c>
      <c r="J119" s="67"/>
      <c r="K119" s="67"/>
      <c r="L119" s="67"/>
    </row>
    <row r="120">
      <c r="A120" s="80"/>
      <c r="B120" s="103" t="s">
        <v>149</v>
      </c>
      <c r="D120" s="67"/>
      <c r="E120" s="104">
        <v>44634.04</v>
      </c>
      <c r="F120" s="83"/>
      <c r="G120" s="79"/>
      <c r="H120" s="83"/>
      <c r="I120" s="99" t="s">
        <v>193</v>
      </c>
      <c r="J120" s="67"/>
      <c r="K120" s="67"/>
      <c r="L120" s="67"/>
    </row>
    <row r="121">
      <c r="A121" s="92" t="s">
        <v>109</v>
      </c>
      <c r="B121" s="103" t="s">
        <v>151</v>
      </c>
      <c r="D121" s="104">
        <v>5053.48</v>
      </c>
      <c r="E121" s="79"/>
      <c r="F121" s="83"/>
      <c r="G121" s="79"/>
      <c r="H121" s="83"/>
      <c r="I121" s="67"/>
      <c r="J121" s="67"/>
      <c r="K121" s="67"/>
      <c r="L121" s="67"/>
    </row>
    <row r="122">
      <c r="A122" s="92" t="s">
        <v>152</v>
      </c>
      <c r="B122" s="103" t="s">
        <v>154</v>
      </c>
      <c r="D122" s="104">
        <v>28373.32</v>
      </c>
      <c r="E122" s="79"/>
      <c r="F122" s="83"/>
      <c r="G122" s="79"/>
      <c r="H122" s="83"/>
      <c r="I122" s="67"/>
      <c r="J122" s="67"/>
      <c r="K122" s="67"/>
      <c r="L122" s="67"/>
    </row>
    <row r="123">
      <c r="A123" s="80"/>
      <c r="B123" s="79"/>
      <c r="C123" s="79"/>
      <c r="D123" s="79"/>
      <c r="E123" s="79"/>
      <c r="F123" s="83"/>
      <c r="G123" s="79"/>
      <c r="H123" s="83"/>
      <c r="I123" s="67"/>
      <c r="J123" s="67"/>
      <c r="K123" s="67"/>
      <c r="L123" s="67"/>
    </row>
    <row r="124">
      <c r="A124" s="87"/>
      <c r="B124" s="89"/>
      <c r="C124" s="89"/>
      <c r="D124" s="89"/>
      <c r="E124" s="89"/>
      <c r="F124" s="91"/>
      <c r="G124" s="89"/>
      <c r="H124" s="91"/>
      <c r="I124" s="67"/>
      <c r="J124" s="67"/>
      <c r="K124" s="67"/>
      <c r="L124" s="67"/>
    </row>
    <row r="125">
      <c r="A125" s="67"/>
      <c r="B125" s="67"/>
      <c r="C125" s="67"/>
      <c r="D125" s="67"/>
      <c r="E125" s="67"/>
      <c r="F125" s="67"/>
      <c r="G125" s="67"/>
      <c r="H125" s="113"/>
      <c r="I125" s="67">
        <f>SUM(D106:H124)</f>
        <v>309503.14</v>
      </c>
      <c r="J125" s="67"/>
      <c r="K125" s="67"/>
      <c r="L125" s="67"/>
    </row>
    <row r="126">
      <c r="A126" s="101" t="s">
        <v>155</v>
      </c>
      <c r="B126" s="75"/>
      <c r="C126" s="75"/>
      <c r="D126" s="75"/>
      <c r="E126" s="75"/>
      <c r="F126" s="77"/>
      <c r="G126" s="75"/>
      <c r="H126" s="77"/>
      <c r="I126" s="67"/>
      <c r="J126" s="67"/>
      <c r="K126" s="67"/>
      <c r="L126" s="67"/>
    </row>
    <row r="127">
      <c r="A127" s="114" t="s">
        <v>10</v>
      </c>
      <c r="B127" s="103" t="s">
        <v>157</v>
      </c>
      <c r="E127" s="104">
        <v>12925.0</v>
      </c>
      <c r="F127" s="83"/>
      <c r="G127" s="79"/>
      <c r="H127" s="83"/>
      <c r="I127" s="99" t="s">
        <v>201</v>
      </c>
      <c r="J127" s="115" t="s">
        <v>202</v>
      </c>
      <c r="K127" s="67"/>
      <c r="L127" s="67"/>
    </row>
    <row r="128">
      <c r="A128" s="114" t="s">
        <v>147</v>
      </c>
      <c r="B128" s="103" t="s">
        <v>149</v>
      </c>
      <c r="D128" s="67"/>
      <c r="E128" s="104">
        <v>37930.81</v>
      </c>
      <c r="F128" s="83"/>
      <c r="G128" s="79"/>
      <c r="H128" s="83"/>
      <c r="I128" s="99" t="s">
        <v>193</v>
      </c>
      <c r="J128" s="67"/>
      <c r="K128" s="67"/>
      <c r="L128" s="67"/>
    </row>
    <row r="129">
      <c r="A129" s="116"/>
      <c r="B129" s="79"/>
      <c r="C129" s="79"/>
      <c r="D129" s="79"/>
      <c r="E129" s="79"/>
      <c r="F129" s="83"/>
      <c r="G129" s="79"/>
      <c r="H129" s="83"/>
      <c r="I129" s="67"/>
      <c r="J129" s="67"/>
      <c r="K129" s="67"/>
      <c r="L129" s="67"/>
    </row>
    <row r="130">
      <c r="A130" s="87"/>
      <c r="B130" s="89"/>
      <c r="C130" s="89"/>
      <c r="D130" s="89"/>
      <c r="E130" s="89"/>
      <c r="F130" s="91"/>
      <c r="G130" s="89"/>
      <c r="H130" s="91"/>
      <c r="I130" s="67"/>
      <c r="J130" s="67"/>
      <c r="K130" s="67"/>
      <c r="L130" s="67"/>
    </row>
    <row r="131">
      <c r="A131" s="67"/>
      <c r="B131" s="67"/>
      <c r="C131" s="67"/>
      <c r="D131" s="67"/>
      <c r="E131" s="67"/>
      <c r="F131" s="67"/>
      <c r="G131" s="67"/>
      <c r="H131" s="113"/>
      <c r="I131" s="67"/>
      <c r="J131" s="67"/>
      <c r="K131" s="67"/>
      <c r="L131" s="67"/>
    </row>
    <row r="132">
      <c r="A132" s="101" t="s">
        <v>159</v>
      </c>
      <c r="B132" s="75"/>
      <c r="C132" s="75"/>
      <c r="D132" s="75"/>
      <c r="E132" s="75"/>
      <c r="F132" s="77"/>
      <c r="G132" s="75"/>
      <c r="H132" s="77"/>
      <c r="I132" s="67"/>
      <c r="J132" s="67"/>
      <c r="K132" s="67"/>
      <c r="L132" s="67"/>
    </row>
    <row r="133">
      <c r="A133" s="114" t="s">
        <v>10</v>
      </c>
      <c r="B133" s="103" t="s">
        <v>157</v>
      </c>
      <c r="E133" s="104">
        <v>18672.5</v>
      </c>
      <c r="F133" s="83"/>
      <c r="G133" s="79"/>
      <c r="H133" s="83"/>
      <c r="I133" s="99" t="s">
        <v>201</v>
      </c>
      <c r="J133" s="115" t="s">
        <v>202</v>
      </c>
      <c r="K133" s="67"/>
      <c r="L133" s="67"/>
    </row>
    <row r="134">
      <c r="A134" s="114" t="s">
        <v>147</v>
      </c>
      <c r="B134" s="103" t="s">
        <v>149</v>
      </c>
      <c r="D134" s="103"/>
      <c r="E134" s="104">
        <v>12285.06</v>
      </c>
      <c r="F134" s="83"/>
      <c r="G134" s="79"/>
      <c r="H134" s="83"/>
      <c r="I134" s="99" t="s">
        <v>193</v>
      </c>
      <c r="J134" s="67"/>
      <c r="K134" s="67"/>
      <c r="L134" s="67"/>
    </row>
    <row r="135">
      <c r="A135" s="114"/>
      <c r="B135" s="79"/>
      <c r="C135" s="103"/>
      <c r="D135" s="103"/>
      <c r="E135" s="79"/>
      <c r="F135" s="83"/>
      <c r="G135" s="79"/>
      <c r="H135" s="83"/>
      <c r="I135" s="67"/>
      <c r="J135" s="67"/>
      <c r="K135" s="67"/>
      <c r="L135" s="67"/>
    </row>
    <row r="136">
      <c r="A136" s="89"/>
      <c r="B136" s="89"/>
      <c r="C136" s="89"/>
      <c r="D136" s="89"/>
      <c r="E136" s="89"/>
      <c r="F136" s="91"/>
      <c r="G136" s="89"/>
      <c r="H136" s="91"/>
      <c r="I136" s="67"/>
      <c r="J136" s="67"/>
      <c r="K136" s="67"/>
      <c r="L136" s="67"/>
    </row>
    <row r="137">
      <c r="A137" s="67"/>
      <c r="B137" s="67"/>
      <c r="C137" s="67"/>
      <c r="D137" s="67"/>
      <c r="E137" s="67"/>
      <c r="F137" s="67"/>
      <c r="G137" s="67"/>
      <c r="H137" s="113"/>
      <c r="I137" s="67"/>
      <c r="J137" s="67"/>
      <c r="K137" s="67"/>
      <c r="L137" s="67"/>
    </row>
    <row r="138">
      <c r="A138" s="101" t="s">
        <v>162</v>
      </c>
      <c r="B138" s="75"/>
      <c r="C138" s="75"/>
      <c r="D138" s="75"/>
      <c r="E138" s="75"/>
      <c r="F138" s="77"/>
      <c r="G138" s="75"/>
      <c r="H138" s="77"/>
      <c r="I138" s="67"/>
      <c r="J138" s="67"/>
      <c r="K138" s="67"/>
      <c r="L138" s="67"/>
    </row>
    <row r="139">
      <c r="A139" s="114" t="s">
        <v>163</v>
      </c>
      <c r="B139" s="103" t="s">
        <v>165</v>
      </c>
      <c r="D139" s="67"/>
      <c r="E139" s="104">
        <v>4507.0</v>
      </c>
      <c r="F139" s="83"/>
      <c r="G139" s="79"/>
      <c r="H139" s="83"/>
      <c r="I139" s="99" t="s">
        <v>201</v>
      </c>
      <c r="J139" s="115" t="s">
        <v>202</v>
      </c>
      <c r="K139" s="67"/>
      <c r="L139" s="67"/>
    </row>
    <row r="140">
      <c r="A140" s="114"/>
      <c r="B140" s="103" t="s">
        <v>165</v>
      </c>
      <c r="D140" s="67"/>
      <c r="E140" s="104">
        <v>13230.0</v>
      </c>
      <c r="F140" s="83"/>
      <c r="G140" s="79"/>
      <c r="H140" s="83"/>
      <c r="I140" s="99" t="s">
        <v>201</v>
      </c>
      <c r="J140" s="115" t="s">
        <v>202</v>
      </c>
      <c r="K140" s="67"/>
      <c r="L140" s="67"/>
    </row>
    <row r="141">
      <c r="A141" s="114"/>
      <c r="B141" s="79"/>
      <c r="C141" s="103"/>
      <c r="D141" s="103"/>
      <c r="E141" s="79"/>
      <c r="F141" s="83"/>
      <c r="G141" s="79"/>
      <c r="H141" s="83"/>
      <c r="I141" s="67"/>
      <c r="J141" s="67"/>
      <c r="K141" s="67"/>
      <c r="L141" s="67"/>
    </row>
    <row r="142">
      <c r="A142" s="89"/>
      <c r="B142" s="89"/>
      <c r="C142" s="89"/>
      <c r="D142" s="89"/>
      <c r="E142" s="89"/>
      <c r="F142" s="91"/>
      <c r="G142" s="89"/>
      <c r="H142" s="91"/>
      <c r="I142" s="67"/>
      <c r="J142" s="67"/>
      <c r="K142" s="67"/>
      <c r="L142" s="67"/>
    </row>
    <row r="143">
      <c r="A143" s="67"/>
      <c r="B143" s="67"/>
      <c r="C143" s="67"/>
      <c r="D143" s="67"/>
      <c r="E143" s="67"/>
      <c r="F143" s="67"/>
      <c r="G143" s="67"/>
      <c r="H143" s="113"/>
      <c r="I143" s="67"/>
      <c r="J143" s="67"/>
      <c r="K143" s="67"/>
      <c r="L143" s="67"/>
    </row>
    <row r="144">
      <c r="A144" s="101" t="s">
        <v>167</v>
      </c>
      <c r="B144" s="75"/>
      <c r="C144" s="75"/>
      <c r="D144" s="75"/>
      <c r="E144" s="75"/>
      <c r="F144" s="77"/>
      <c r="G144" s="75"/>
      <c r="H144" s="77"/>
      <c r="I144" s="67"/>
      <c r="J144" s="67"/>
      <c r="K144" s="67"/>
      <c r="L144" s="67"/>
    </row>
    <row r="145">
      <c r="A145" s="114" t="s">
        <v>163</v>
      </c>
      <c r="B145" s="103" t="s">
        <v>165</v>
      </c>
      <c r="D145" s="67"/>
      <c r="E145" s="104">
        <v>2895.0</v>
      </c>
      <c r="F145" s="83"/>
      <c r="G145" s="79"/>
      <c r="H145" s="83"/>
      <c r="I145" s="99" t="s">
        <v>201</v>
      </c>
      <c r="J145" s="115" t="s">
        <v>202</v>
      </c>
      <c r="K145" s="67"/>
      <c r="L145" s="67"/>
    </row>
    <row r="146">
      <c r="A146" s="114"/>
      <c r="B146" s="79"/>
      <c r="C146" s="103"/>
      <c r="D146" s="103"/>
      <c r="E146" s="79"/>
      <c r="F146" s="83"/>
      <c r="G146" s="79"/>
      <c r="H146" s="83"/>
      <c r="I146" s="67"/>
      <c r="J146" s="67"/>
      <c r="K146" s="67"/>
      <c r="L146" s="67"/>
    </row>
    <row r="147">
      <c r="A147" s="114"/>
      <c r="B147" s="79"/>
      <c r="C147" s="103"/>
      <c r="D147" s="103"/>
      <c r="E147" s="79"/>
      <c r="F147" s="83"/>
      <c r="G147" s="79"/>
      <c r="H147" s="83"/>
      <c r="I147" s="67"/>
      <c r="J147" s="67"/>
      <c r="K147" s="67"/>
      <c r="L147" s="67"/>
    </row>
    <row r="148">
      <c r="A148" s="89"/>
      <c r="B148" s="89"/>
      <c r="C148" s="89"/>
      <c r="D148" s="89"/>
      <c r="E148" s="89"/>
      <c r="F148" s="91"/>
      <c r="G148" s="89"/>
      <c r="H148" s="91"/>
      <c r="I148" s="67"/>
      <c r="J148" s="67"/>
      <c r="K148" s="67"/>
      <c r="L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</row>
    <row r="150">
      <c r="A150" s="117" t="s">
        <v>203</v>
      </c>
      <c r="B150" s="117"/>
      <c r="C150" s="117"/>
      <c r="D150" s="118">
        <v>3309813.34</v>
      </c>
      <c r="E150" s="118">
        <v>227743.19</v>
      </c>
      <c r="F150" s="118">
        <v>22694.19</v>
      </c>
      <c r="G150" s="118">
        <v>895240.49</v>
      </c>
      <c r="H150" s="117"/>
      <c r="I150" s="117"/>
      <c r="J150" s="118">
        <v>4455491.21</v>
      </c>
      <c r="K150" s="67"/>
      <c r="L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</row>
  </sheetData>
  <mergeCells count="61">
    <mergeCell ref="B93:C93"/>
    <mergeCell ref="B94:C94"/>
    <mergeCell ref="B96:C96"/>
    <mergeCell ref="B97:C97"/>
    <mergeCell ref="B107:C107"/>
    <mergeCell ref="B116:C116"/>
    <mergeCell ref="B117:C117"/>
    <mergeCell ref="B139:C139"/>
    <mergeCell ref="B140:C140"/>
    <mergeCell ref="B145:C145"/>
    <mergeCell ref="B118:C118"/>
    <mergeCell ref="B119:C119"/>
    <mergeCell ref="B120:C120"/>
    <mergeCell ref="B121:C121"/>
    <mergeCell ref="B122:C122"/>
    <mergeCell ref="B127:C127"/>
    <mergeCell ref="B128:C128"/>
    <mergeCell ref="A1:B1"/>
    <mergeCell ref="G2:H2"/>
    <mergeCell ref="I2:L2"/>
    <mergeCell ref="B5:C5"/>
    <mergeCell ref="B8:C8"/>
    <mergeCell ref="B10:C10"/>
    <mergeCell ref="B20:C20"/>
    <mergeCell ref="B22:C22"/>
    <mergeCell ref="B25:C25"/>
    <mergeCell ref="B26:C26"/>
    <mergeCell ref="I29:L29"/>
    <mergeCell ref="B32:C32"/>
    <mergeCell ref="B35:C35"/>
    <mergeCell ref="B36:C36"/>
    <mergeCell ref="B37:C37"/>
    <mergeCell ref="B39:C39"/>
    <mergeCell ref="B41:C41"/>
    <mergeCell ref="B44:C44"/>
    <mergeCell ref="B52:C52"/>
    <mergeCell ref="B53:C53"/>
    <mergeCell ref="B54:C54"/>
    <mergeCell ref="B55:C55"/>
    <mergeCell ref="B57:C57"/>
    <mergeCell ref="B63:C63"/>
    <mergeCell ref="B64:C64"/>
    <mergeCell ref="B65:C65"/>
    <mergeCell ref="B66:C66"/>
    <mergeCell ref="B67:C67"/>
    <mergeCell ref="B68:C68"/>
    <mergeCell ref="B70:C70"/>
    <mergeCell ref="B72:C72"/>
    <mergeCell ref="B73:C73"/>
    <mergeCell ref="B74:C74"/>
    <mergeCell ref="B81:C81"/>
    <mergeCell ref="B82:C82"/>
    <mergeCell ref="B83:C83"/>
    <mergeCell ref="B84:C84"/>
    <mergeCell ref="B85:C85"/>
    <mergeCell ref="B86:C86"/>
    <mergeCell ref="B90:C90"/>
    <mergeCell ref="B91:C91"/>
    <mergeCell ref="B92:C92"/>
    <mergeCell ref="B133:C133"/>
    <mergeCell ref="B134:C13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2024-06-03T16:01:19Z</dcterms:created>
  <dc:creator>DOUG RICH</dc:creator>
</cp:coreProperties>
</file>