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UvKm2enRvkwTnYdOTc3KneY93X1B08wOED4IPzKRH4="/>
    </ext>
  </extLst>
</workbook>
</file>

<file path=xl/sharedStrings.xml><?xml version="1.0" encoding="utf-8"?>
<sst xmlns="http://schemas.openxmlformats.org/spreadsheetml/2006/main" count="258" uniqueCount="209">
  <si>
    <t>BUILDER'S DRAW REQUEST SUMMARY</t>
  </si>
  <si>
    <t>ITEM  #</t>
  </si>
  <si>
    <t>INV  #</t>
  </si>
  <si>
    <t xml:space="preserve">PAYABLE TO: </t>
  </si>
  <si>
    <t>DESCRIPTION</t>
  </si>
  <si>
    <t>INV AMOUNT</t>
  </si>
  <si>
    <t>RETAINAGE</t>
  </si>
  <si>
    <t>AMOUNT DUE</t>
  </si>
  <si>
    <t>PAY WITH BANK REMAINING FUNDS</t>
  </si>
  <si>
    <t>003</t>
  </si>
  <si>
    <t>RICH DEVELOPMENT INC.</t>
  </si>
  <si>
    <t>Site Concrete</t>
  </si>
  <si>
    <t>004</t>
  </si>
  <si>
    <t>UDOT Concrete</t>
  </si>
  <si>
    <t>026</t>
  </si>
  <si>
    <t>BFS Material</t>
  </si>
  <si>
    <t>068</t>
  </si>
  <si>
    <t>Profit</t>
  </si>
  <si>
    <t>060</t>
  </si>
  <si>
    <t>Temp Power</t>
  </si>
  <si>
    <t>056</t>
  </si>
  <si>
    <t>Coulson</t>
  </si>
  <si>
    <t>067</t>
  </si>
  <si>
    <t>Supervision</t>
  </si>
  <si>
    <t>062</t>
  </si>
  <si>
    <t>AC25024, AC25031</t>
  </si>
  <si>
    <t>ALTURA CAMERAS LLC</t>
  </si>
  <si>
    <t>Security Cameras</t>
  </si>
  <si>
    <t>032</t>
  </si>
  <si>
    <t>697265, 697266</t>
  </si>
  <si>
    <t>BEAZER LOCK &amp; KEY</t>
  </si>
  <si>
    <t>Hardware</t>
  </si>
  <si>
    <t>007</t>
  </si>
  <si>
    <t>Retention</t>
  </si>
  <si>
    <t>BOARDWALK</t>
  </si>
  <si>
    <t>Framing retention</t>
  </si>
  <si>
    <t>005</t>
  </si>
  <si>
    <t>BRONCO FENCE COMPANY</t>
  </si>
  <si>
    <t>Fencing</t>
  </si>
  <si>
    <t>065</t>
  </si>
  <si>
    <t>2583</t>
  </si>
  <si>
    <t>CB BUILDING</t>
  </si>
  <si>
    <t>Materials, hardware</t>
  </si>
  <si>
    <t>046</t>
  </si>
  <si>
    <t>Signage</t>
  </si>
  <si>
    <t>059</t>
  </si>
  <si>
    <t>2998, 3070</t>
  </si>
  <si>
    <t>CEARLEY</t>
  </si>
  <si>
    <t>SWPPP</t>
  </si>
  <si>
    <t>DAVIS SIGNS</t>
  </si>
  <si>
    <t>505114</t>
  </si>
  <si>
    <t>DIAZ QUALITY FRAMING</t>
  </si>
  <si>
    <t>Amenities ramp/framing</t>
  </si>
  <si>
    <t>1075</t>
  </si>
  <si>
    <t>DIXON SECURITY CAMERAS</t>
  </si>
  <si>
    <t>259908</t>
  </si>
  <si>
    <t>DRY CREEK STRUCTURES</t>
  </si>
  <si>
    <t>Rapid Set Concrete UDOT</t>
  </si>
  <si>
    <t>053</t>
  </si>
  <si>
    <t>13769, 14469, 7971</t>
  </si>
  <si>
    <t>DUMPS EASY</t>
  </si>
  <si>
    <t>Dumpster</t>
  </si>
  <si>
    <t>017</t>
  </si>
  <si>
    <t>ELITE PLUMBING ?</t>
  </si>
  <si>
    <t>Plumbing</t>
  </si>
  <si>
    <t>023</t>
  </si>
  <si>
    <t xml:space="preserve">EVOLUTION CONSTRUCTION </t>
  </si>
  <si>
    <t>Gypcrete</t>
  </si>
  <si>
    <t>014</t>
  </si>
  <si>
    <t>Storefront</t>
  </si>
  <si>
    <t>016</t>
  </si>
  <si>
    <t>100222, 100279, 100346</t>
  </si>
  <si>
    <t>FORTIFIED DOORWORKS</t>
  </si>
  <si>
    <t>HM Doors, Material</t>
  </si>
  <si>
    <t>019</t>
  </si>
  <si>
    <t>FOX &amp; HOUND</t>
  </si>
  <si>
    <t>Electrical</t>
  </si>
  <si>
    <t>024</t>
  </si>
  <si>
    <t>HANSEN ALL SEASON INSULATION</t>
  </si>
  <si>
    <t>Insulation</t>
  </si>
  <si>
    <t>063</t>
  </si>
  <si>
    <t>84897</t>
  </si>
  <si>
    <t>INTERMOUNTAIN TESTING</t>
  </si>
  <si>
    <t>Special Inspections</t>
  </si>
  <si>
    <t>048</t>
  </si>
  <si>
    <t>403, 404</t>
  </si>
  <si>
    <t>K CARTER CONSTRUCTION</t>
  </si>
  <si>
    <t>Shed</t>
  </si>
  <si>
    <t>402, 403</t>
  </si>
  <si>
    <t>047</t>
  </si>
  <si>
    <t>403</t>
  </si>
  <si>
    <t>Fire Pit Set</t>
  </si>
  <si>
    <t>022</t>
  </si>
  <si>
    <t>Fire Caulk</t>
  </si>
  <si>
    <t>002</t>
  </si>
  <si>
    <t>16442, 16444, 16445, 16446, 16447</t>
  </si>
  <si>
    <t>KEITH KAP &amp; SONS EXCAVATING</t>
  </si>
  <si>
    <t>Excavation</t>
  </si>
  <si>
    <t>025</t>
  </si>
  <si>
    <t>2335, 2266, 2200, 2202, 2203, 2257</t>
  </si>
  <si>
    <t>LARA &amp; SONS CONSTRUCTION</t>
  </si>
  <si>
    <t>Drywall</t>
  </si>
  <si>
    <t>037</t>
  </si>
  <si>
    <t>2201, 2257</t>
  </si>
  <si>
    <t>Exteriors</t>
  </si>
  <si>
    <t>LVT</t>
  </si>
  <si>
    <t>036</t>
  </si>
  <si>
    <t>HL 4,  Retention</t>
  </si>
  <si>
    <t>MC SIDING</t>
  </si>
  <si>
    <t>Brick</t>
  </si>
  <si>
    <t>7/1/25-1</t>
  </si>
  <si>
    <t>Security Lockup</t>
  </si>
  <si>
    <t>012</t>
  </si>
  <si>
    <t>9600, 9605, 9614</t>
  </si>
  <si>
    <t>MERAKI STEEL</t>
  </si>
  <si>
    <t>Steel</t>
  </si>
  <si>
    <t>836955, 837337, 837276, 837514</t>
  </si>
  <si>
    <t>METRO PORCELAIN &amp; FIBERGLASS</t>
  </si>
  <si>
    <t>Tub Repair</t>
  </si>
  <si>
    <t>010</t>
  </si>
  <si>
    <t>MY ROOF</t>
  </si>
  <si>
    <t>Decking</t>
  </si>
  <si>
    <t>049</t>
  </si>
  <si>
    <t>L2994-3</t>
  </si>
  <si>
    <t>NEXT DAY BLINDS</t>
  </si>
  <si>
    <t>Blinds</t>
  </si>
  <si>
    <t>00062856</t>
  </si>
  <si>
    <t>OGDEN CITY</t>
  </si>
  <si>
    <t>Permit Extension</t>
  </si>
  <si>
    <t>030</t>
  </si>
  <si>
    <t>202501425</t>
  </si>
  <si>
    <t>Overhead Door Company</t>
  </si>
  <si>
    <t>Garage Doors</t>
  </si>
  <si>
    <t>097</t>
  </si>
  <si>
    <t>2514, 2517, 2518</t>
  </si>
  <si>
    <t>PERENNIAL WEST LLC</t>
  </si>
  <si>
    <t>Office Hours</t>
  </si>
  <si>
    <t>028</t>
  </si>
  <si>
    <t>Performance Painting Co</t>
  </si>
  <si>
    <t>Paint</t>
  </si>
  <si>
    <t>009</t>
  </si>
  <si>
    <t>8063</t>
  </si>
  <si>
    <t>PERKES ROOFING</t>
  </si>
  <si>
    <t>Roofing</t>
  </si>
  <si>
    <t>035</t>
  </si>
  <si>
    <t xml:space="preserve">L4538, L4542 </t>
  </si>
  <si>
    <t>POULSEN FINISH &amp; DÉCOR</t>
  </si>
  <si>
    <t>Flooring</t>
  </si>
  <si>
    <t>14125</t>
  </si>
  <si>
    <t>PRECISION CONCRETE PUMPING</t>
  </si>
  <si>
    <t>Concrete Pumping</t>
  </si>
  <si>
    <t>042</t>
  </si>
  <si>
    <t>PRECISION POOLS &amp; SPAS</t>
  </si>
  <si>
    <t>Pool</t>
  </si>
  <si>
    <t>2520</t>
  </si>
  <si>
    <t>PRO INTERIORS</t>
  </si>
  <si>
    <t>Garbage haul &amp; dump</t>
  </si>
  <si>
    <t>2518</t>
  </si>
  <si>
    <t>Materials</t>
  </si>
  <si>
    <t>018</t>
  </si>
  <si>
    <t>00645</t>
  </si>
  <si>
    <t>SALMON HVAC</t>
  </si>
  <si>
    <t>HVAC</t>
  </si>
  <si>
    <t>027</t>
  </si>
  <si>
    <t>Pay App 7, Retention</t>
  </si>
  <si>
    <t>SCS</t>
  </si>
  <si>
    <t>Cabinets &amp; Countertops</t>
  </si>
  <si>
    <t>033</t>
  </si>
  <si>
    <t>Pay App 3, Pay App 4</t>
  </si>
  <si>
    <t>SELECT SPECIALTIES</t>
  </si>
  <si>
    <t>Fire supplies</t>
  </si>
  <si>
    <t>034</t>
  </si>
  <si>
    <t>4567, 4508, Retention</t>
  </si>
  <si>
    <t>SHOWER SOLUTIONS</t>
  </si>
  <si>
    <t>Mirrors</t>
  </si>
  <si>
    <t>0178, 1002, Retention</t>
  </si>
  <si>
    <t>SOUTH PEAK CONSTRUCTION LLC</t>
  </si>
  <si>
    <t>Finish Trim LLC</t>
  </si>
  <si>
    <t>1118-HL, Retention</t>
  </si>
  <si>
    <t>SUNRISE ELITE</t>
  </si>
  <si>
    <t>057</t>
  </si>
  <si>
    <t>SWEEP N UTAH</t>
  </si>
  <si>
    <t>Street Sweeping</t>
  </si>
  <si>
    <t>STRIPE ZONE</t>
  </si>
  <si>
    <t>Parking Lot Signage</t>
  </si>
  <si>
    <t>015</t>
  </si>
  <si>
    <t>TK ELEVATOR CORPORATION</t>
  </si>
  <si>
    <t>Elevator</t>
  </si>
  <si>
    <t>021</t>
  </si>
  <si>
    <t>TST FIRE PROTECTION</t>
  </si>
  <si>
    <t>Fire Sprinkler Dry Heads</t>
  </si>
  <si>
    <t>052</t>
  </si>
  <si>
    <t>UNITED SITE SERVICES</t>
  </si>
  <si>
    <t>Porta Potty</t>
  </si>
  <si>
    <t>URBANE</t>
  </si>
  <si>
    <t>WASATCH CONSTRUCTION CLEAN UP</t>
  </si>
  <si>
    <t>Cleaning</t>
  </si>
  <si>
    <t>WASATCH PREMIER HOME SERVICES</t>
  </si>
  <si>
    <t>WEBB'S WINDOWS, LLC</t>
  </si>
  <si>
    <t>Windows</t>
  </si>
  <si>
    <t>WHEELWRIGHT LUMBER</t>
  </si>
  <si>
    <t>CONTRACTORS SIGNATURE</t>
  </si>
  <si>
    <t>TOTAL THIS DRAW</t>
  </si>
  <si>
    <t>Total This Draw</t>
  </si>
  <si>
    <t>DATE</t>
  </si>
  <si>
    <t>left for FINAL draw</t>
  </si>
  <si>
    <t>Rich Development</t>
  </si>
  <si>
    <t>Original Contract Amount</t>
  </si>
  <si>
    <t>Remaining in 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</si>
</sst>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13">
    <font>
      <sz val="11.0"/>
      <color theme="1"/>
      <name val="Calibri"/>
      <scheme val="minor"/>
    </font>
    <font>
      <b/>
      <sz val="16.0"/>
      <color rgb="FF000000"/>
      <name val="Arial"/>
    </font>
    <font/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Calibri"/>
      <scheme val="minor"/>
    </font>
    <font>
      <sz val="10.0"/>
      <color rgb="FF000000"/>
      <name val="Times New Roman"/>
    </font>
    <font>
      <sz val="10.0"/>
      <color theme="1"/>
      <name val="Calibri"/>
    </font>
    <font>
      <sz val="20.0"/>
      <color rgb="FF000000"/>
      <name val="Times New Roman"/>
    </font>
    <font>
      <sz val="17.0"/>
      <color rgb="FF000000"/>
      <name val="Times New Roman"/>
    </font>
    <font>
      <b/>
      <sz val="18.0"/>
      <color rgb="FF000000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</fills>
  <borders count="3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5" fillId="0" fontId="2" numFmtId="0" xfId="0" applyBorder="1" applyFont="1"/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7" fillId="0" fontId="4" numFmtId="0" xfId="0" applyBorder="1" applyFont="1"/>
    <xf borderId="8" fillId="0" fontId="4" numFmtId="0" xfId="0" applyBorder="1" applyFont="1"/>
    <xf borderId="0" fillId="0" fontId="4" numFmtId="0" xfId="0" applyFont="1"/>
    <xf borderId="9" fillId="2" fontId="3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2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2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5" fillId="3" fontId="3" numFmtId="0" xfId="0" applyAlignment="1" applyBorder="1" applyFill="1" applyFont="1">
      <alignment horizontal="center" shrinkToFit="0" vertical="center" wrapText="1"/>
    </xf>
    <xf borderId="16" fillId="0" fontId="5" numFmtId="49" xfId="0" applyAlignment="1" applyBorder="1" applyFont="1" applyNumberFormat="1">
      <alignment horizontal="center" shrinkToFit="0" vertical="center" wrapText="1"/>
    </xf>
    <xf borderId="17" fillId="0" fontId="2" numFmtId="0" xfId="0" applyBorder="1" applyFont="1"/>
    <xf borderId="18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164" xfId="0" applyAlignment="1" applyBorder="1" applyFont="1" applyNumberFormat="1">
      <alignment horizontal="center" shrinkToFit="0" vertical="center" wrapText="1"/>
    </xf>
    <xf borderId="18" fillId="0" fontId="5" numFmtId="165" xfId="0" applyAlignment="1" applyBorder="1" applyFont="1" applyNumberFormat="1">
      <alignment horizontal="center" shrinkToFit="0" vertical="center" wrapText="1"/>
    </xf>
    <xf borderId="21" fillId="0" fontId="5" numFmtId="164" xfId="0" applyAlignment="1" applyBorder="1" applyFont="1" applyNumberFormat="1">
      <alignment horizontal="center" shrinkToFit="0" vertical="center" wrapText="1"/>
    </xf>
    <xf borderId="0" fillId="0" fontId="6" numFmtId="2" xfId="0" applyFont="1" applyNumberFormat="1"/>
    <xf borderId="6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8" fillId="0" fontId="2" numFmtId="0" xfId="0" applyBorder="1" applyFont="1"/>
    <xf borderId="0" fillId="0" fontId="6" numFmtId="164" xfId="0" applyFont="1" applyNumberFormat="1"/>
    <xf borderId="21" fillId="0" fontId="2" numFmtId="0" xfId="0" applyBorder="1" applyFont="1"/>
    <xf borderId="26" fillId="0" fontId="5" numFmtId="165" xfId="0" applyAlignment="1" applyBorder="1" applyFont="1" applyNumberFormat="1">
      <alignment horizontal="center" shrinkToFit="0" vertical="center" wrapText="1"/>
    </xf>
    <xf borderId="27" fillId="0" fontId="2" numFmtId="0" xfId="0" applyBorder="1" applyFont="1"/>
    <xf borderId="26" fillId="0" fontId="5" numFmtId="164" xfId="0" applyAlignment="1" applyBorder="1" applyFont="1" applyNumberFormat="1">
      <alignment horizontal="center" shrinkToFit="0" vertical="center" wrapText="1"/>
    </xf>
    <xf borderId="19" fillId="0" fontId="5" numFmtId="165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28" fillId="0" fontId="5" numFmtId="49" xfId="0" applyAlignment="1" applyBorder="1" applyFont="1" applyNumberForma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5" numFmtId="164" xfId="0" applyAlignment="1" applyBorder="1" applyFont="1" applyNumberFormat="1">
      <alignment horizontal="center" shrinkToFit="0" vertical="center" wrapText="1"/>
    </xf>
    <xf borderId="28" fillId="0" fontId="5" numFmtId="164" xfId="0" applyAlignment="1" applyBorder="1" applyFont="1" applyNumberFormat="1">
      <alignment horizontal="center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18" fillId="0" fontId="5" numFmtId="164" xfId="0" applyAlignment="1" applyBorder="1" applyFont="1" applyNumberForma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32" fillId="0" fontId="5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33" fillId="0" fontId="5" numFmtId="0" xfId="0" applyAlignment="1" applyBorder="1" applyFont="1">
      <alignment horizontal="center" shrinkToFit="0" vertical="center" wrapText="1"/>
    </xf>
    <xf borderId="19" fillId="0" fontId="5" numFmtId="164" xfId="0" applyAlignment="1" applyBorder="1" applyFont="1" applyNumberFormat="1">
      <alignment horizontal="center" shrinkToFit="0" vertical="center" wrapText="1"/>
    </xf>
    <xf borderId="26" fillId="0" fontId="5" numFmtId="4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6" fillId="0" fontId="3" numFmtId="49" xfId="0" applyAlignment="1" applyBorder="1" applyFont="1" applyNumberForma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35" fillId="0" fontId="7" numFmtId="0" xfId="0" applyAlignment="1" applyBorder="1" applyFont="1">
      <alignment shrinkToFit="0" vertical="center" wrapText="1"/>
    </xf>
    <xf borderId="0" fillId="0" fontId="3" numFmtId="0" xfId="0" applyAlignment="1" applyFont="1">
      <alignment horizontal="right"/>
    </xf>
    <xf borderId="0" fillId="0" fontId="8" numFmtId="0" xfId="0" applyFont="1"/>
    <xf borderId="36" fillId="0" fontId="3" numFmtId="164" xfId="0" applyAlignment="1" applyBorder="1" applyFont="1" applyNumberFormat="1">
      <alignment horizontal="right"/>
    </xf>
    <xf borderId="0" fillId="0" fontId="5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35" fillId="0" fontId="3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9" numFmtId="0" xfId="0" applyAlignment="1" applyFont="1">
      <alignment horizontal="left" shrinkToFit="0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horizontal="right"/>
    </xf>
    <xf borderId="0" fillId="0" fontId="11" numFmtId="164" xfId="0" applyAlignment="1" applyFont="1" applyNumberFormat="1">
      <alignment horizontal="right"/>
    </xf>
    <xf borderId="1" fillId="4" fontId="12" numFmtId="0" xfId="0" applyAlignment="1" applyBorder="1" applyFill="1" applyFont="1">
      <alignment horizontal="center"/>
    </xf>
    <xf borderId="37" fillId="0" fontId="2" numFmtId="0" xfId="0" applyBorder="1" applyFont="1"/>
    <xf borderId="38" fillId="4" fontId="12" numFmtId="164" xfId="0" applyBorder="1" applyFont="1" applyNumberForma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57"/>
    <col customWidth="1" min="5" max="5" width="35.29"/>
    <col customWidth="1" min="6" max="6" width="8.71"/>
    <col customWidth="1" min="7" max="7" width="24.71"/>
    <col customWidth="1" min="8" max="8" width="23.86"/>
    <col customWidth="1" min="9" max="9" width="17.14"/>
    <col customWidth="1" min="10" max="10" width="24.0"/>
    <col customWidth="1" min="11" max="11" width="41.14"/>
    <col customWidth="1" min="12" max="12" width="14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>
      <c r="A2" s="5"/>
      <c r="G2" s="6"/>
      <c r="J2" s="7"/>
      <c r="K2" s="6"/>
    </row>
    <row r="3">
      <c r="A3" s="8"/>
      <c r="B3" s="9"/>
      <c r="C3" s="9"/>
      <c r="D3" s="9"/>
      <c r="E3" s="10"/>
      <c r="F3" s="10"/>
      <c r="G3" s="10"/>
      <c r="H3" s="10"/>
      <c r="I3" s="10"/>
      <c r="J3" s="11"/>
      <c r="K3" s="12"/>
    </row>
    <row r="4">
      <c r="A4" s="13" t="s">
        <v>1</v>
      </c>
      <c r="B4" s="14"/>
      <c r="C4" s="13" t="s">
        <v>2</v>
      </c>
      <c r="D4" s="14"/>
      <c r="E4" s="15" t="s">
        <v>3</v>
      </c>
      <c r="F4" s="13" t="s">
        <v>4</v>
      </c>
      <c r="G4" s="16"/>
      <c r="H4" s="15" t="s">
        <v>5</v>
      </c>
      <c r="I4" s="17" t="s">
        <v>6</v>
      </c>
      <c r="J4" s="18" t="s">
        <v>7</v>
      </c>
      <c r="K4" s="19" t="s">
        <v>8</v>
      </c>
    </row>
    <row r="5">
      <c r="A5" s="20" t="s">
        <v>9</v>
      </c>
      <c r="B5" s="21"/>
      <c r="C5" s="20"/>
      <c r="D5" s="21"/>
      <c r="E5" s="22" t="s">
        <v>10</v>
      </c>
      <c r="F5" s="23" t="s">
        <v>11</v>
      </c>
      <c r="G5" s="21"/>
      <c r="H5" s="24">
        <v>5949.22</v>
      </c>
      <c r="I5" s="25"/>
      <c r="J5" s="26">
        <f>H5</f>
        <v>5949.22</v>
      </c>
      <c r="K5" s="26">
        <v>5949.22</v>
      </c>
      <c r="L5" s="27"/>
    </row>
    <row r="6">
      <c r="A6" s="28"/>
      <c r="B6" s="29"/>
      <c r="C6" s="28"/>
      <c r="D6" s="29"/>
      <c r="E6" s="30"/>
      <c r="F6" s="31"/>
      <c r="G6" s="29"/>
      <c r="H6" s="32"/>
      <c r="I6" s="30"/>
      <c r="J6" s="33"/>
      <c r="K6" s="33"/>
      <c r="L6" s="34">
        <f t="shared" ref="L6:L66" si="1">J5-K5</f>
        <v>0</v>
      </c>
    </row>
    <row r="7">
      <c r="A7" s="20" t="s">
        <v>12</v>
      </c>
      <c r="B7" s="21"/>
      <c r="C7" s="20"/>
      <c r="D7" s="21"/>
      <c r="E7" s="22" t="s">
        <v>10</v>
      </c>
      <c r="F7" s="23" t="s">
        <v>13</v>
      </c>
      <c r="G7" s="21"/>
      <c r="H7" s="24">
        <v>20443.94</v>
      </c>
      <c r="I7" s="25"/>
      <c r="J7" s="26">
        <f>H7</f>
        <v>20443.94</v>
      </c>
      <c r="K7" s="26">
        <v>20443.94</v>
      </c>
      <c r="L7" s="34">
        <f t="shared" si="1"/>
        <v>0</v>
      </c>
    </row>
    <row r="8">
      <c r="A8" s="28"/>
      <c r="B8" s="29"/>
      <c r="C8" s="28"/>
      <c r="D8" s="29"/>
      <c r="E8" s="30"/>
      <c r="F8" s="31"/>
      <c r="G8" s="29"/>
      <c r="H8" s="32"/>
      <c r="I8" s="30"/>
      <c r="J8" s="33"/>
      <c r="K8" s="33"/>
      <c r="L8" s="34">
        <f t="shared" si="1"/>
        <v>0</v>
      </c>
    </row>
    <row r="9">
      <c r="A9" s="20" t="s">
        <v>14</v>
      </c>
      <c r="B9" s="21"/>
      <c r="C9" s="20"/>
      <c r="D9" s="21"/>
      <c r="E9" s="22" t="s">
        <v>10</v>
      </c>
      <c r="F9" s="23" t="s">
        <v>15</v>
      </c>
      <c r="G9" s="21"/>
      <c r="H9" s="24">
        <f>33.73+283.67+2422.49</f>
        <v>2739.89</v>
      </c>
      <c r="I9" s="25"/>
      <c r="J9" s="26">
        <f>H9</f>
        <v>2739.89</v>
      </c>
      <c r="K9" s="26">
        <v>2739.89</v>
      </c>
      <c r="L9" s="34">
        <f t="shared" si="1"/>
        <v>0</v>
      </c>
    </row>
    <row r="10">
      <c r="A10" s="28"/>
      <c r="B10" s="29"/>
      <c r="C10" s="28"/>
      <c r="D10" s="29"/>
      <c r="E10" s="30"/>
      <c r="F10" s="31"/>
      <c r="G10" s="29"/>
      <c r="H10" s="32"/>
      <c r="I10" s="30"/>
      <c r="J10" s="33"/>
      <c r="K10" s="33"/>
      <c r="L10" s="34">
        <f t="shared" si="1"/>
        <v>0</v>
      </c>
    </row>
    <row r="11">
      <c r="A11" s="20" t="s">
        <v>16</v>
      </c>
      <c r="B11" s="21"/>
      <c r="C11" s="20"/>
      <c r="D11" s="21"/>
      <c r="E11" s="22" t="s">
        <v>10</v>
      </c>
      <c r="F11" s="23" t="s">
        <v>17</v>
      </c>
      <c r="G11" s="21"/>
      <c r="H11" s="24">
        <f>606583.94</f>
        <v>606583.94</v>
      </c>
      <c r="I11" s="25"/>
      <c r="J11" s="26">
        <f>H11</f>
        <v>606583.94</v>
      </c>
      <c r="K11" s="26">
        <v>150000.0</v>
      </c>
      <c r="L11" s="34">
        <f t="shared" si="1"/>
        <v>0</v>
      </c>
    </row>
    <row r="12">
      <c r="A12" s="28"/>
      <c r="B12" s="29"/>
      <c r="C12" s="28"/>
      <c r="D12" s="29"/>
      <c r="E12" s="30"/>
      <c r="F12" s="31"/>
      <c r="G12" s="29"/>
      <c r="H12" s="32"/>
      <c r="I12" s="30"/>
      <c r="J12" s="33"/>
      <c r="K12" s="33"/>
      <c r="L12" s="34">
        <f t="shared" si="1"/>
        <v>456583.94</v>
      </c>
    </row>
    <row r="13">
      <c r="A13" s="20" t="s">
        <v>18</v>
      </c>
      <c r="B13" s="21"/>
      <c r="C13" s="20"/>
      <c r="D13" s="21"/>
      <c r="E13" s="22" t="s">
        <v>10</v>
      </c>
      <c r="F13" s="23" t="s">
        <v>19</v>
      </c>
      <c r="G13" s="21"/>
      <c r="H13" s="24">
        <f>102.62+142.21+128.57</f>
        <v>373.4</v>
      </c>
      <c r="I13" s="25"/>
      <c r="J13" s="26">
        <f>H13</f>
        <v>373.4</v>
      </c>
      <c r="K13" s="26">
        <v>373.4</v>
      </c>
      <c r="L13" s="34">
        <f t="shared" si="1"/>
        <v>0</v>
      </c>
    </row>
    <row r="14">
      <c r="A14" s="28"/>
      <c r="B14" s="29"/>
      <c r="C14" s="28"/>
      <c r="D14" s="29"/>
      <c r="E14" s="30"/>
      <c r="F14" s="31"/>
      <c r="G14" s="29"/>
      <c r="H14" s="32"/>
      <c r="I14" s="30"/>
      <c r="J14" s="33"/>
      <c r="K14" s="33"/>
      <c r="L14" s="34">
        <f t="shared" si="1"/>
        <v>0</v>
      </c>
    </row>
    <row r="15">
      <c r="A15" s="20" t="s">
        <v>20</v>
      </c>
      <c r="B15" s="35"/>
      <c r="C15" s="20"/>
      <c r="D15" s="21"/>
      <c r="E15" s="22" t="s">
        <v>10</v>
      </c>
      <c r="F15" s="23" t="s">
        <v>21</v>
      </c>
      <c r="G15" s="21"/>
      <c r="H15" s="24">
        <f>1270+1712</f>
        <v>2982</v>
      </c>
      <c r="I15" s="36"/>
      <c r="J15" s="26">
        <f>H15</f>
        <v>2982</v>
      </c>
      <c r="K15" s="26">
        <v>2982.0</v>
      </c>
      <c r="L15" s="34">
        <f t="shared" si="1"/>
        <v>0</v>
      </c>
    </row>
    <row r="16">
      <c r="A16" s="28"/>
      <c r="B16" s="33"/>
      <c r="C16" s="28"/>
      <c r="D16" s="29"/>
      <c r="E16" s="30"/>
      <c r="F16" s="31"/>
      <c r="G16" s="29"/>
      <c r="H16" s="32"/>
      <c r="I16" s="37"/>
      <c r="J16" s="33"/>
      <c r="K16" s="33"/>
      <c r="L16" s="34">
        <f t="shared" si="1"/>
        <v>0</v>
      </c>
    </row>
    <row r="17" ht="15.0" customHeight="1">
      <c r="A17" s="20" t="s">
        <v>22</v>
      </c>
      <c r="B17" s="35"/>
      <c r="C17" s="20"/>
      <c r="D17" s="21"/>
      <c r="E17" s="22" t="s">
        <v>10</v>
      </c>
      <c r="F17" s="23" t="s">
        <v>23</v>
      </c>
      <c r="G17" s="21"/>
      <c r="H17" s="24">
        <f>15000+7500</f>
        <v>22500</v>
      </c>
      <c r="I17" s="36"/>
      <c r="J17" s="24">
        <f>H17</f>
        <v>22500</v>
      </c>
      <c r="K17" s="24">
        <v>22500.0</v>
      </c>
      <c r="L17" s="34">
        <f t="shared" si="1"/>
        <v>0</v>
      </c>
    </row>
    <row r="18">
      <c r="A18" s="28"/>
      <c r="B18" s="33"/>
      <c r="C18" s="28"/>
      <c r="D18" s="29"/>
      <c r="E18" s="30"/>
      <c r="F18" s="31"/>
      <c r="G18" s="29"/>
      <c r="H18" s="32"/>
      <c r="I18" s="37"/>
      <c r="J18" s="32"/>
      <c r="K18" s="32"/>
      <c r="L18" s="34">
        <f t="shared" si="1"/>
        <v>0</v>
      </c>
    </row>
    <row r="19">
      <c r="A19" s="20" t="s">
        <v>24</v>
      </c>
      <c r="B19" s="35"/>
      <c r="C19" s="20" t="s">
        <v>25</v>
      </c>
      <c r="D19" s="21"/>
      <c r="E19" s="22" t="s">
        <v>26</v>
      </c>
      <c r="F19" s="23" t="s">
        <v>27</v>
      </c>
      <c r="G19" s="21"/>
      <c r="H19" s="24">
        <v>900.0</v>
      </c>
      <c r="I19" s="36"/>
      <c r="J19" s="24">
        <v>900.0</v>
      </c>
      <c r="K19" s="26">
        <v>900.0</v>
      </c>
      <c r="L19" s="34">
        <f t="shared" si="1"/>
        <v>0</v>
      </c>
    </row>
    <row r="20">
      <c r="A20" s="28"/>
      <c r="B20" s="33"/>
      <c r="C20" s="28"/>
      <c r="D20" s="29"/>
      <c r="E20" s="30"/>
      <c r="F20" s="31"/>
      <c r="G20" s="29"/>
      <c r="H20" s="32"/>
      <c r="I20" s="37"/>
      <c r="J20" s="32"/>
      <c r="K20" s="33"/>
      <c r="L20" s="34">
        <f t="shared" si="1"/>
        <v>0</v>
      </c>
    </row>
    <row r="21" ht="15.75" customHeight="1">
      <c r="A21" s="20" t="s">
        <v>28</v>
      </c>
      <c r="B21" s="35"/>
      <c r="C21" s="20" t="s">
        <v>29</v>
      </c>
      <c r="D21" s="21"/>
      <c r="E21" s="22" t="s">
        <v>30</v>
      </c>
      <c r="F21" s="23" t="s">
        <v>31</v>
      </c>
      <c r="G21" s="21"/>
      <c r="H21" s="24">
        <v>15694.12</v>
      </c>
      <c r="I21" s="36"/>
      <c r="J21" s="24">
        <f>H21</f>
        <v>15694.12</v>
      </c>
      <c r="K21" s="26">
        <v>15694.12</v>
      </c>
      <c r="L21" s="34">
        <f t="shared" si="1"/>
        <v>0</v>
      </c>
    </row>
    <row r="22" ht="15.75" customHeight="1">
      <c r="A22" s="28"/>
      <c r="B22" s="33"/>
      <c r="C22" s="28"/>
      <c r="D22" s="29"/>
      <c r="E22" s="30"/>
      <c r="F22" s="31"/>
      <c r="G22" s="29"/>
      <c r="H22" s="32"/>
      <c r="I22" s="37"/>
      <c r="J22" s="32"/>
      <c r="K22" s="33"/>
      <c r="L22" s="34">
        <f t="shared" si="1"/>
        <v>0</v>
      </c>
    </row>
    <row r="23" ht="15.75" customHeight="1">
      <c r="A23" s="20" t="s">
        <v>32</v>
      </c>
      <c r="B23" s="35"/>
      <c r="C23" s="20" t="s">
        <v>33</v>
      </c>
      <c r="D23" s="21"/>
      <c r="E23" s="22" t="s">
        <v>34</v>
      </c>
      <c r="F23" s="23" t="s">
        <v>35</v>
      </c>
      <c r="G23" s="21"/>
      <c r="H23" s="24"/>
      <c r="I23" s="36">
        <v>-851.75</v>
      </c>
      <c r="J23" s="24">
        <f>H23-I23</f>
        <v>851.75</v>
      </c>
      <c r="K23" s="26">
        <v>851.75</v>
      </c>
      <c r="L23" s="34">
        <f t="shared" si="1"/>
        <v>0</v>
      </c>
    </row>
    <row r="24" ht="15.75" customHeight="1">
      <c r="A24" s="28"/>
      <c r="B24" s="33"/>
      <c r="C24" s="28"/>
      <c r="D24" s="29"/>
      <c r="E24" s="30"/>
      <c r="F24" s="31"/>
      <c r="G24" s="29"/>
      <c r="H24" s="32"/>
      <c r="I24" s="37"/>
      <c r="J24" s="32"/>
      <c r="K24" s="33"/>
      <c r="L24" s="34">
        <f t="shared" si="1"/>
        <v>0</v>
      </c>
    </row>
    <row r="25" ht="15.75" customHeight="1">
      <c r="A25" s="20" t="s">
        <v>36</v>
      </c>
      <c r="B25" s="35"/>
      <c r="C25" s="20"/>
      <c r="D25" s="21"/>
      <c r="E25" s="22" t="s">
        <v>37</v>
      </c>
      <c r="F25" s="23" t="s">
        <v>38</v>
      </c>
      <c r="G25" s="21"/>
      <c r="H25" s="24">
        <v>38547.31</v>
      </c>
      <c r="I25" s="36">
        <v>-119.0</v>
      </c>
      <c r="J25" s="24">
        <f>H25-I25</f>
        <v>38666.31</v>
      </c>
      <c r="K25" s="26">
        <v>38666.31</v>
      </c>
      <c r="L25" s="34">
        <f t="shared" si="1"/>
        <v>0</v>
      </c>
    </row>
    <row r="26" ht="15.75" customHeight="1">
      <c r="A26" s="28"/>
      <c r="B26" s="33"/>
      <c r="C26" s="28"/>
      <c r="D26" s="29"/>
      <c r="E26" s="30"/>
      <c r="F26" s="31"/>
      <c r="G26" s="29"/>
      <c r="H26" s="32"/>
      <c r="I26" s="37"/>
      <c r="J26" s="32"/>
      <c r="K26" s="33"/>
      <c r="L26" s="34">
        <f t="shared" si="1"/>
        <v>0</v>
      </c>
    </row>
    <row r="27" ht="15.75" customHeight="1">
      <c r="A27" s="20" t="s">
        <v>39</v>
      </c>
      <c r="B27" s="35"/>
      <c r="C27" s="20" t="s">
        <v>40</v>
      </c>
      <c r="D27" s="21"/>
      <c r="E27" s="22" t="s">
        <v>41</v>
      </c>
      <c r="F27" s="23" t="s">
        <v>42</v>
      </c>
      <c r="G27" s="21"/>
      <c r="H27" s="24">
        <f>444.77-63.1</f>
        <v>381.67</v>
      </c>
      <c r="I27" s="38"/>
      <c r="J27" s="24">
        <f>H27</f>
        <v>381.67</v>
      </c>
      <c r="K27" s="26">
        <v>381.66999999999996</v>
      </c>
      <c r="L27" s="34">
        <f t="shared" si="1"/>
        <v>0</v>
      </c>
    </row>
    <row r="28" ht="15.75" customHeight="1">
      <c r="A28" s="28"/>
      <c r="B28" s="33"/>
      <c r="C28" s="28"/>
      <c r="D28" s="29"/>
      <c r="E28" s="30"/>
      <c r="F28" s="31"/>
      <c r="G28" s="29"/>
      <c r="H28" s="32"/>
      <c r="I28" s="37"/>
      <c r="J28" s="32"/>
      <c r="K28" s="33"/>
      <c r="L28" s="34">
        <f t="shared" si="1"/>
        <v>0</v>
      </c>
    </row>
    <row r="29" ht="15.75" customHeight="1">
      <c r="A29" s="20" t="s">
        <v>43</v>
      </c>
      <c r="B29" s="35"/>
      <c r="C29" s="20" t="s">
        <v>40</v>
      </c>
      <c r="D29" s="21"/>
      <c r="E29" s="22" t="s">
        <v>41</v>
      </c>
      <c r="F29" s="23" t="s">
        <v>44</v>
      </c>
      <c r="G29" s="21"/>
      <c r="H29" s="24">
        <v>63.1</v>
      </c>
      <c r="I29" s="38"/>
      <c r="J29" s="24">
        <f>H29</f>
        <v>63.1</v>
      </c>
      <c r="K29" s="26">
        <v>63.1</v>
      </c>
      <c r="L29" s="34">
        <f t="shared" si="1"/>
        <v>0</v>
      </c>
    </row>
    <row r="30" ht="15.75" customHeight="1">
      <c r="A30" s="28"/>
      <c r="B30" s="33"/>
      <c r="C30" s="28"/>
      <c r="D30" s="29"/>
      <c r="E30" s="30"/>
      <c r="F30" s="31"/>
      <c r="G30" s="29"/>
      <c r="H30" s="32"/>
      <c r="I30" s="37"/>
      <c r="J30" s="32"/>
      <c r="K30" s="33"/>
      <c r="L30" s="34">
        <f t="shared" si="1"/>
        <v>0</v>
      </c>
    </row>
    <row r="31" ht="15.75" customHeight="1">
      <c r="A31" s="20" t="s">
        <v>45</v>
      </c>
      <c r="B31" s="35"/>
      <c r="C31" s="20" t="s">
        <v>46</v>
      </c>
      <c r="D31" s="21"/>
      <c r="E31" s="22" t="s">
        <v>47</v>
      </c>
      <c r="F31" s="39" t="s">
        <v>48</v>
      </c>
      <c r="G31" s="21"/>
      <c r="H31" s="24">
        <f>450+225</f>
        <v>675</v>
      </c>
      <c r="I31" s="36"/>
      <c r="J31" s="24">
        <f>H31</f>
        <v>675</v>
      </c>
      <c r="K31" s="26">
        <v>675.0</v>
      </c>
      <c r="L31" s="34">
        <f t="shared" si="1"/>
        <v>0</v>
      </c>
    </row>
    <row r="32" ht="15.75" customHeight="1">
      <c r="A32" s="28"/>
      <c r="B32" s="33"/>
      <c r="C32" s="28"/>
      <c r="D32" s="29"/>
      <c r="E32" s="30"/>
      <c r="F32" s="31"/>
      <c r="G32" s="29"/>
      <c r="H32" s="32"/>
      <c r="I32" s="37"/>
      <c r="J32" s="32"/>
      <c r="K32" s="33"/>
      <c r="L32" s="34">
        <f t="shared" si="1"/>
        <v>0</v>
      </c>
    </row>
    <row r="33" ht="15.75" customHeight="1">
      <c r="A33" s="20" t="s">
        <v>43</v>
      </c>
      <c r="B33" s="35"/>
      <c r="C33" s="20"/>
      <c r="D33" s="21"/>
      <c r="E33" s="22" t="s">
        <v>49</v>
      </c>
      <c r="F33" s="39" t="s">
        <v>44</v>
      </c>
      <c r="G33" s="21"/>
      <c r="H33" s="24">
        <v>8203.54</v>
      </c>
      <c r="I33" s="36"/>
      <c r="J33" s="24">
        <f t="shared" ref="J33:K33" si="2">H33</f>
        <v>8203.54</v>
      </c>
      <c r="K33" s="26" t="str">
        <f t="shared" si="2"/>
        <v/>
      </c>
      <c r="L33" s="34">
        <f t="shared" si="1"/>
        <v>0</v>
      </c>
    </row>
    <row r="34" ht="15.75" customHeight="1">
      <c r="A34" s="28"/>
      <c r="B34" s="33"/>
      <c r="C34" s="28"/>
      <c r="D34" s="29"/>
      <c r="E34" s="30"/>
      <c r="F34" s="31"/>
      <c r="G34" s="29"/>
      <c r="H34" s="32"/>
      <c r="I34" s="37"/>
      <c r="J34" s="32"/>
      <c r="K34" s="33"/>
      <c r="L34" s="34">
        <f t="shared" si="1"/>
        <v>8203.54</v>
      </c>
    </row>
    <row r="35" ht="15.75" customHeight="1">
      <c r="A35" s="20" t="s">
        <v>32</v>
      </c>
      <c r="B35" s="35"/>
      <c r="C35" s="20" t="s">
        <v>50</v>
      </c>
      <c r="D35" s="21"/>
      <c r="E35" s="22" t="s">
        <v>51</v>
      </c>
      <c r="F35" s="23" t="s">
        <v>52</v>
      </c>
      <c r="G35" s="21"/>
      <c r="H35" s="24">
        <v>2027.0</v>
      </c>
      <c r="I35" s="36"/>
      <c r="J35" s="24">
        <f>H35</f>
        <v>2027</v>
      </c>
      <c r="K35" s="26">
        <v>2027.0</v>
      </c>
      <c r="L35" s="34">
        <f t="shared" si="1"/>
        <v>0</v>
      </c>
    </row>
    <row r="36" ht="15.75" customHeight="1">
      <c r="A36" s="28"/>
      <c r="B36" s="33"/>
      <c r="C36" s="28"/>
      <c r="D36" s="29"/>
      <c r="E36" s="30"/>
      <c r="F36" s="31"/>
      <c r="G36" s="29"/>
      <c r="H36" s="32"/>
      <c r="I36" s="37"/>
      <c r="J36" s="32"/>
      <c r="K36" s="33"/>
      <c r="L36" s="34">
        <f t="shared" si="1"/>
        <v>0</v>
      </c>
    </row>
    <row r="37" ht="15.75" customHeight="1">
      <c r="A37" s="20" t="s">
        <v>24</v>
      </c>
      <c r="B37" s="35"/>
      <c r="C37" s="20" t="s">
        <v>53</v>
      </c>
      <c r="D37" s="21"/>
      <c r="E37" s="22" t="s">
        <v>54</v>
      </c>
      <c r="F37" s="23" t="s">
        <v>27</v>
      </c>
      <c r="G37" s="21"/>
      <c r="H37" s="24">
        <v>10335.75</v>
      </c>
      <c r="I37" s="36"/>
      <c r="J37" s="24">
        <f>H37</f>
        <v>10335.75</v>
      </c>
      <c r="K37" s="26"/>
      <c r="L37" s="34">
        <f t="shared" si="1"/>
        <v>0</v>
      </c>
    </row>
    <row r="38" ht="15.75" customHeight="1">
      <c r="A38" s="28"/>
      <c r="B38" s="33"/>
      <c r="C38" s="28"/>
      <c r="D38" s="29"/>
      <c r="E38" s="30"/>
      <c r="F38" s="31"/>
      <c r="G38" s="29"/>
      <c r="H38" s="32"/>
      <c r="I38" s="37"/>
      <c r="J38" s="32"/>
      <c r="K38" s="33"/>
      <c r="L38" s="34">
        <f t="shared" si="1"/>
        <v>10335.75</v>
      </c>
    </row>
    <row r="39" ht="15.75" customHeight="1">
      <c r="A39" s="20" t="s">
        <v>12</v>
      </c>
      <c r="B39" s="35"/>
      <c r="C39" s="20" t="s">
        <v>55</v>
      </c>
      <c r="D39" s="21"/>
      <c r="E39" s="22" t="s">
        <v>56</v>
      </c>
      <c r="F39" s="23" t="s">
        <v>57</v>
      </c>
      <c r="G39" s="21"/>
      <c r="H39" s="24">
        <v>49696.0</v>
      </c>
      <c r="I39" s="36"/>
      <c r="J39" s="24">
        <f>H39</f>
        <v>49696</v>
      </c>
      <c r="K39" s="26"/>
      <c r="L39" s="34">
        <f t="shared" si="1"/>
        <v>0</v>
      </c>
    </row>
    <row r="40" ht="15.75" customHeight="1">
      <c r="A40" s="28"/>
      <c r="B40" s="33"/>
      <c r="C40" s="28"/>
      <c r="D40" s="29"/>
      <c r="E40" s="30"/>
      <c r="F40" s="31"/>
      <c r="G40" s="29"/>
      <c r="H40" s="32"/>
      <c r="I40" s="37"/>
      <c r="J40" s="32"/>
      <c r="K40" s="33"/>
      <c r="L40" s="34">
        <f t="shared" si="1"/>
        <v>49696</v>
      </c>
    </row>
    <row r="41" ht="15.75" customHeight="1">
      <c r="A41" s="20" t="s">
        <v>58</v>
      </c>
      <c r="B41" s="35"/>
      <c r="C41" s="20" t="s">
        <v>59</v>
      </c>
      <c r="D41" s="21"/>
      <c r="E41" s="22" t="s">
        <v>60</v>
      </c>
      <c r="F41" s="23" t="s">
        <v>61</v>
      </c>
      <c r="G41" s="21"/>
      <c r="H41" s="24">
        <f>450.73+350.73+260.43</f>
        <v>1061.89</v>
      </c>
      <c r="I41" s="36"/>
      <c r="J41" s="24">
        <f>H41</f>
        <v>1061.89</v>
      </c>
      <c r="K41" s="26">
        <v>1061.89</v>
      </c>
      <c r="L41" s="34">
        <f t="shared" si="1"/>
        <v>0</v>
      </c>
    </row>
    <row r="42" ht="15.75" customHeight="1">
      <c r="A42" s="28"/>
      <c r="B42" s="33"/>
      <c r="C42" s="28"/>
      <c r="D42" s="29"/>
      <c r="E42" s="30"/>
      <c r="F42" s="31"/>
      <c r="G42" s="29"/>
      <c r="H42" s="32"/>
      <c r="I42" s="37"/>
      <c r="J42" s="32"/>
      <c r="K42" s="33"/>
      <c r="L42" s="34">
        <f t="shared" si="1"/>
        <v>0</v>
      </c>
    </row>
    <row r="43" ht="15.75" customHeight="1">
      <c r="A43" s="20" t="s">
        <v>62</v>
      </c>
      <c r="B43" s="35"/>
      <c r="C43" s="20"/>
      <c r="D43" s="21"/>
      <c r="E43" s="22" t="s">
        <v>63</v>
      </c>
      <c r="F43" s="23" t="s">
        <v>64</v>
      </c>
      <c r="G43" s="21"/>
      <c r="H43" s="24">
        <v>79000.0</v>
      </c>
      <c r="I43" s="36"/>
      <c r="J43" s="24">
        <f>H43</f>
        <v>79000</v>
      </c>
      <c r="K43" s="26">
        <v>79000.0</v>
      </c>
      <c r="L43" s="34">
        <f t="shared" si="1"/>
        <v>0</v>
      </c>
    </row>
    <row r="44" ht="15.75" customHeight="1">
      <c r="A44" s="28"/>
      <c r="B44" s="33"/>
      <c r="C44" s="28"/>
      <c r="D44" s="29"/>
      <c r="E44" s="30"/>
      <c r="F44" s="31"/>
      <c r="G44" s="29"/>
      <c r="H44" s="32"/>
      <c r="I44" s="37"/>
      <c r="J44" s="32"/>
      <c r="K44" s="33"/>
      <c r="L44" s="34">
        <f t="shared" si="1"/>
        <v>0</v>
      </c>
    </row>
    <row r="45" ht="15.75" customHeight="1">
      <c r="A45" s="20" t="s">
        <v>65</v>
      </c>
      <c r="B45" s="35"/>
      <c r="C45" s="20"/>
      <c r="D45" s="21"/>
      <c r="E45" s="22" t="s">
        <v>66</v>
      </c>
      <c r="F45" s="23" t="s">
        <v>67</v>
      </c>
      <c r="G45" s="21"/>
      <c r="H45" s="24"/>
      <c r="I45" s="36">
        <v>-7320.73</v>
      </c>
      <c r="J45" s="24">
        <f>H45-I45</f>
        <v>7320.73</v>
      </c>
      <c r="K45" s="26">
        <v>7320.73</v>
      </c>
      <c r="L45" s="34">
        <f t="shared" si="1"/>
        <v>0</v>
      </c>
    </row>
    <row r="46" ht="15.75" customHeight="1">
      <c r="A46" s="28"/>
      <c r="B46" s="33"/>
      <c r="C46" s="28"/>
      <c r="D46" s="29"/>
      <c r="E46" s="30"/>
      <c r="F46" s="31"/>
      <c r="G46" s="29"/>
      <c r="H46" s="32"/>
      <c r="I46" s="37"/>
      <c r="J46" s="32"/>
      <c r="K46" s="33"/>
      <c r="L46" s="34">
        <f t="shared" si="1"/>
        <v>0</v>
      </c>
    </row>
    <row r="47" ht="15.75" customHeight="1">
      <c r="A47" s="20" t="s">
        <v>68</v>
      </c>
      <c r="B47" s="35"/>
      <c r="C47" s="20"/>
      <c r="D47" s="21"/>
      <c r="E47" s="22" t="s">
        <v>66</v>
      </c>
      <c r="F47" s="23" t="s">
        <v>69</v>
      </c>
      <c r="G47" s="21"/>
      <c r="H47" s="24"/>
      <c r="I47" s="36">
        <v>-7100.83</v>
      </c>
      <c r="J47" s="24">
        <f>H47-I47</f>
        <v>7100.83</v>
      </c>
      <c r="K47" s="26">
        <v>7100.83</v>
      </c>
      <c r="L47" s="34">
        <f t="shared" si="1"/>
        <v>0</v>
      </c>
    </row>
    <row r="48" ht="15.75" customHeight="1">
      <c r="A48" s="28"/>
      <c r="B48" s="33"/>
      <c r="C48" s="28"/>
      <c r="D48" s="29"/>
      <c r="E48" s="30"/>
      <c r="F48" s="31"/>
      <c r="G48" s="29"/>
      <c r="H48" s="32"/>
      <c r="I48" s="37"/>
      <c r="J48" s="32"/>
      <c r="K48" s="33"/>
      <c r="L48" s="34">
        <f t="shared" si="1"/>
        <v>0</v>
      </c>
    </row>
    <row r="49" ht="15.75" customHeight="1">
      <c r="A49" s="20" t="s">
        <v>70</v>
      </c>
      <c r="B49" s="35"/>
      <c r="C49" s="20" t="s">
        <v>71</v>
      </c>
      <c r="D49" s="21"/>
      <c r="E49" s="22" t="s">
        <v>72</v>
      </c>
      <c r="F49" s="23" t="s">
        <v>73</v>
      </c>
      <c r="G49" s="21"/>
      <c r="H49" s="24">
        <f>37215.23+538.17+1316.73</f>
        <v>39070.13</v>
      </c>
      <c r="I49" s="36"/>
      <c r="J49" s="24">
        <f>H49</f>
        <v>39070.13</v>
      </c>
      <c r="K49" s="26">
        <v>39070.130000000005</v>
      </c>
      <c r="L49" s="34">
        <f t="shared" si="1"/>
        <v>0</v>
      </c>
    </row>
    <row r="50" ht="15.75" customHeight="1">
      <c r="A50" s="28"/>
      <c r="B50" s="33"/>
      <c r="C50" s="28"/>
      <c r="D50" s="29"/>
      <c r="E50" s="30"/>
      <c r="F50" s="31"/>
      <c r="G50" s="29"/>
      <c r="H50" s="32"/>
      <c r="I50" s="37"/>
      <c r="J50" s="32"/>
      <c r="K50" s="33"/>
      <c r="L50" s="34">
        <f t="shared" si="1"/>
        <v>0</v>
      </c>
    </row>
    <row r="51" ht="15.75" customHeight="1">
      <c r="A51" s="20" t="s">
        <v>74</v>
      </c>
      <c r="B51" s="35"/>
      <c r="C51" s="20"/>
      <c r="D51" s="21"/>
      <c r="E51" s="22" t="s">
        <v>75</v>
      </c>
      <c r="F51" s="23" t="s">
        <v>76</v>
      </c>
      <c r="G51" s="21"/>
      <c r="H51" s="24">
        <f>172680.27+41881.33</f>
        <v>214561.6</v>
      </c>
      <c r="I51" s="36">
        <f>H51-J51</f>
        <v>-85246.9</v>
      </c>
      <c r="J51" s="24">
        <v>299808.5</v>
      </c>
      <c r="K51" s="26">
        <v>75000.0</v>
      </c>
      <c r="L51" s="34">
        <f t="shared" si="1"/>
        <v>0</v>
      </c>
    </row>
    <row r="52" ht="15.75" customHeight="1">
      <c r="A52" s="28"/>
      <c r="B52" s="33"/>
      <c r="C52" s="28"/>
      <c r="D52" s="29"/>
      <c r="E52" s="30"/>
      <c r="F52" s="31"/>
      <c r="G52" s="29"/>
      <c r="H52" s="32"/>
      <c r="I52" s="37"/>
      <c r="J52" s="32"/>
      <c r="K52" s="33"/>
      <c r="L52" s="34">
        <f t="shared" si="1"/>
        <v>224808.5</v>
      </c>
    </row>
    <row r="53" ht="15.75" customHeight="1">
      <c r="A53" s="20" t="s">
        <v>77</v>
      </c>
      <c r="B53" s="35"/>
      <c r="C53" s="20" t="s">
        <v>33</v>
      </c>
      <c r="D53" s="21"/>
      <c r="E53" s="22" t="s">
        <v>78</v>
      </c>
      <c r="F53" s="23" t="s">
        <v>79</v>
      </c>
      <c r="G53" s="21"/>
      <c r="H53" s="24"/>
      <c r="I53" s="36">
        <v>-9686.6</v>
      </c>
      <c r="J53" s="24">
        <f>H53-I53</f>
        <v>9686.6</v>
      </c>
      <c r="K53" s="26">
        <v>9686.6</v>
      </c>
      <c r="L53" s="34">
        <f t="shared" si="1"/>
        <v>0</v>
      </c>
    </row>
    <row r="54" ht="15.75" customHeight="1">
      <c r="A54" s="28"/>
      <c r="B54" s="33"/>
      <c r="C54" s="28"/>
      <c r="D54" s="29"/>
      <c r="E54" s="30"/>
      <c r="F54" s="31"/>
      <c r="G54" s="29"/>
      <c r="H54" s="32"/>
      <c r="I54" s="37"/>
      <c r="J54" s="32"/>
      <c r="K54" s="33"/>
      <c r="L54" s="34">
        <f t="shared" si="1"/>
        <v>0</v>
      </c>
    </row>
    <row r="55" ht="15.75" customHeight="1">
      <c r="A55" s="20" t="s">
        <v>80</v>
      </c>
      <c r="B55" s="35"/>
      <c r="C55" s="20" t="s">
        <v>81</v>
      </c>
      <c r="D55" s="21"/>
      <c r="E55" s="22" t="s">
        <v>82</v>
      </c>
      <c r="F55" s="23" t="s">
        <v>83</v>
      </c>
      <c r="G55" s="21"/>
      <c r="H55" s="24">
        <v>323.7</v>
      </c>
      <c r="I55" s="36"/>
      <c r="J55" s="24">
        <f>H55</f>
        <v>323.7</v>
      </c>
      <c r="K55" s="26">
        <v>323.7</v>
      </c>
      <c r="L55" s="34">
        <f t="shared" si="1"/>
        <v>0</v>
      </c>
    </row>
    <row r="56" ht="15.75" customHeight="1">
      <c r="A56" s="28"/>
      <c r="B56" s="33"/>
      <c r="C56" s="28"/>
      <c r="D56" s="29"/>
      <c r="E56" s="30"/>
      <c r="F56" s="31"/>
      <c r="G56" s="29"/>
      <c r="H56" s="32"/>
      <c r="I56" s="37"/>
      <c r="J56" s="32"/>
      <c r="K56" s="33"/>
      <c r="L56" s="34">
        <f t="shared" si="1"/>
        <v>0</v>
      </c>
    </row>
    <row r="57" ht="15.75" customHeight="1">
      <c r="A57" s="20" t="s">
        <v>84</v>
      </c>
      <c r="B57" s="35"/>
      <c r="C57" s="20" t="s">
        <v>85</v>
      </c>
      <c r="D57" s="21"/>
      <c r="E57" s="22" t="s">
        <v>86</v>
      </c>
      <c r="F57" s="23" t="s">
        <v>87</v>
      </c>
      <c r="G57" s="21"/>
      <c r="H57" s="24">
        <f>3918.84+435</f>
        <v>4353.84</v>
      </c>
      <c r="I57" s="36"/>
      <c r="J57" s="24">
        <f>H57</f>
        <v>4353.84</v>
      </c>
      <c r="K57" s="26">
        <v>4353.84</v>
      </c>
      <c r="L57" s="34">
        <f t="shared" si="1"/>
        <v>0</v>
      </c>
    </row>
    <row r="58" ht="15.75" customHeight="1">
      <c r="A58" s="28"/>
      <c r="B58" s="33"/>
      <c r="C58" s="28"/>
      <c r="D58" s="29"/>
      <c r="E58" s="30"/>
      <c r="F58" s="31"/>
      <c r="G58" s="29"/>
      <c r="H58" s="32"/>
      <c r="I58" s="37"/>
      <c r="J58" s="32"/>
      <c r="K58" s="33"/>
      <c r="L58" s="34">
        <f t="shared" si="1"/>
        <v>0</v>
      </c>
    </row>
    <row r="59" ht="15.75" customHeight="1">
      <c r="A59" s="20" t="s">
        <v>43</v>
      </c>
      <c r="B59" s="35"/>
      <c r="C59" s="20" t="s">
        <v>88</v>
      </c>
      <c r="D59" s="21"/>
      <c r="E59" s="22" t="s">
        <v>86</v>
      </c>
      <c r="F59" s="23" t="s">
        <v>44</v>
      </c>
      <c r="G59" s="21"/>
      <c r="H59" s="24">
        <f>37.95+426</f>
        <v>463.95</v>
      </c>
      <c r="I59" s="36"/>
      <c r="J59" s="24">
        <f>H59</f>
        <v>463.95</v>
      </c>
      <c r="K59" s="26">
        <v>463.95</v>
      </c>
      <c r="L59" s="34">
        <f t="shared" si="1"/>
        <v>0</v>
      </c>
    </row>
    <row r="60" ht="15.75" customHeight="1">
      <c r="A60" s="28"/>
      <c r="B60" s="33"/>
      <c r="C60" s="28"/>
      <c r="D60" s="29"/>
      <c r="E60" s="30"/>
      <c r="F60" s="31"/>
      <c r="G60" s="29"/>
      <c r="H60" s="32"/>
      <c r="I60" s="37"/>
      <c r="J60" s="32"/>
      <c r="K60" s="33"/>
      <c r="L60" s="34">
        <f t="shared" si="1"/>
        <v>0</v>
      </c>
    </row>
    <row r="61" ht="15.75" customHeight="1">
      <c r="A61" s="20" t="s">
        <v>89</v>
      </c>
      <c r="B61" s="35"/>
      <c r="C61" s="20" t="s">
        <v>90</v>
      </c>
      <c r="D61" s="21"/>
      <c r="E61" s="22" t="s">
        <v>86</v>
      </c>
      <c r="F61" s="23" t="s">
        <v>91</v>
      </c>
      <c r="G61" s="21"/>
      <c r="H61" s="24">
        <v>1796.44</v>
      </c>
      <c r="I61" s="36"/>
      <c r="J61" s="24">
        <f>H61</f>
        <v>1796.44</v>
      </c>
      <c r="K61" s="26">
        <v>1796.44</v>
      </c>
      <c r="L61" s="34">
        <f t="shared" si="1"/>
        <v>0</v>
      </c>
    </row>
    <row r="62" ht="15.75" customHeight="1">
      <c r="A62" s="28"/>
      <c r="B62" s="33"/>
      <c r="C62" s="28"/>
      <c r="D62" s="29"/>
      <c r="E62" s="30"/>
      <c r="F62" s="31"/>
      <c r="G62" s="29"/>
      <c r="H62" s="32"/>
      <c r="I62" s="37"/>
      <c r="J62" s="32"/>
      <c r="K62" s="33"/>
      <c r="L62" s="34">
        <f t="shared" si="1"/>
        <v>0</v>
      </c>
    </row>
    <row r="63" ht="15.75" customHeight="1">
      <c r="A63" s="20" t="s">
        <v>92</v>
      </c>
      <c r="B63" s="35"/>
      <c r="C63" s="20" t="s">
        <v>90</v>
      </c>
      <c r="D63" s="21"/>
      <c r="E63" s="22" t="s">
        <v>86</v>
      </c>
      <c r="F63" s="23" t="s">
        <v>93</v>
      </c>
      <c r="G63" s="21"/>
      <c r="H63" s="24">
        <v>64.3</v>
      </c>
      <c r="I63" s="36"/>
      <c r="J63" s="24">
        <f>H63</f>
        <v>64.3</v>
      </c>
      <c r="K63" s="26">
        <v>64.3</v>
      </c>
      <c r="L63" s="34">
        <f t="shared" si="1"/>
        <v>0</v>
      </c>
    </row>
    <row r="64" ht="15.75" customHeight="1">
      <c r="A64" s="28"/>
      <c r="B64" s="33"/>
      <c r="C64" s="28"/>
      <c r="D64" s="29"/>
      <c r="E64" s="30"/>
      <c r="F64" s="31"/>
      <c r="G64" s="29"/>
      <c r="H64" s="32"/>
      <c r="I64" s="37"/>
      <c r="J64" s="32"/>
      <c r="K64" s="33"/>
      <c r="L64" s="34">
        <f t="shared" si="1"/>
        <v>0</v>
      </c>
    </row>
    <row r="65" ht="15.75" customHeight="1">
      <c r="A65" s="20" t="s">
        <v>94</v>
      </c>
      <c r="B65" s="35"/>
      <c r="C65" s="20" t="s">
        <v>95</v>
      </c>
      <c r="D65" s="21"/>
      <c r="E65" s="22" t="s">
        <v>96</v>
      </c>
      <c r="F65" s="23" t="s">
        <v>97</v>
      </c>
      <c r="G65" s="21"/>
      <c r="H65" s="24">
        <v>47566.28</v>
      </c>
      <c r="I65" s="36">
        <f>2378.31-40606.93</f>
        <v>-38228.62</v>
      </c>
      <c r="J65" s="24">
        <f>H65-I65</f>
        <v>85794.9</v>
      </c>
      <c r="K65" s="26"/>
      <c r="L65" s="34">
        <f t="shared" si="1"/>
        <v>0</v>
      </c>
    </row>
    <row r="66" ht="15.75" customHeight="1">
      <c r="A66" s="28"/>
      <c r="B66" s="33"/>
      <c r="C66" s="28"/>
      <c r="D66" s="29"/>
      <c r="E66" s="30"/>
      <c r="F66" s="31"/>
      <c r="G66" s="29"/>
      <c r="H66" s="32"/>
      <c r="I66" s="37"/>
      <c r="J66" s="32"/>
      <c r="K66" s="33"/>
      <c r="L66" s="34">
        <f t="shared" si="1"/>
        <v>85794.9</v>
      </c>
    </row>
    <row r="67" ht="15.75" customHeight="1">
      <c r="A67" s="40"/>
      <c r="B67" s="40"/>
      <c r="C67" s="41"/>
      <c r="D67" s="41"/>
      <c r="E67" s="42"/>
      <c r="F67" s="42"/>
      <c r="G67" s="42"/>
      <c r="H67" s="43"/>
      <c r="I67" s="44"/>
      <c r="J67" s="45"/>
      <c r="K67" s="45"/>
      <c r="L67" s="34"/>
    </row>
    <row r="68" ht="15.75" customHeight="1">
      <c r="A68" s="20" t="s">
        <v>98</v>
      </c>
      <c r="B68" s="35"/>
      <c r="C68" s="20" t="s">
        <v>99</v>
      </c>
      <c r="D68" s="21"/>
      <c r="E68" s="22" t="s">
        <v>100</v>
      </c>
      <c r="F68" s="23" t="s">
        <v>101</v>
      </c>
      <c r="G68" s="21"/>
      <c r="H68" s="24">
        <f>5850+4050+37720+5313.45+2179.82</f>
        <v>55113.27</v>
      </c>
      <c r="I68" s="38">
        <f>-61760.52-286.72-108.06</f>
        <v>-62155.3</v>
      </c>
      <c r="J68" s="24">
        <f>H68-I68</f>
        <v>117268.57</v>
      </c>
      <c r="K68" s="26">
        <v>35000.0</v>
      </c>
      <c r="L68" s="34">
        <f t="shared" ref="L68:L138" si="3">J68-K68</f>
        <v>82268.57</v>
      </c>
    </row>
    <row r="69" ht="15.75" customHeight="1">
      <c r="A69" s="28"/>
      <c r="B69" s="33"/>
      <c r="C69" s="28"/>
      <c r="D69" s="29"/>
      <c r="E69" s="30"/>
      <c r="F69" s="31"/>
      <c r="G69" s="29"/>
      <c r="H69" s="32"/>
      <c r="I69" s="37"/>
      <c r="J69" s="32"/>
      <c r="K69" s="33"/>
      <c r="L69" s="34">
        <f t="shared" si="3"/>
        <v>0</v>
      </c>
    </row>
    <row r="70" ht="15.75" customHeight="1">
      <c r="A70" s="20" t="s">
        <v>102</v>
      </c>
      <c r="B70" s="35"/>
      <c r="C70" s="20" t="s">
        <v>103</v>
      </c>
      <c r="D70" s="21"/>
      <c r="E70" s="22" t="s">
        <v>100</v>
      </c>
      <c r="F70" s="23" t="s">
        <v>104</v>
      </c>
      <c r="G70" s="21"/>
      <c r="H70" s="24">
        <f>4350</f>
        <v>4350</v>
      </c>
      <c r="I70" s="38">
        <f>-3875-23178-1808.1-3271.01-1106.6-606.52</f>
        <v>-33845.23</v>
      </c>
      <c r="J70" s="24">
        <f>H70-I70</f>
        <v>38195.23</v>
      </c>
      <c r="K70" s="26">
        <v>15000.0</v>
      </c>
      <c r="L70" s="34">
        <f t="shared" si="3"/>
        <v>23195.23</v>
      </c>
    </row>
    <row r="71" ht="15.75" customHeight="1">
      <c r="A71" s="28"/>
      <c r="B71" s="33"/>
      <c r="C71" s="28"/>
      <c r="D71" s="29"/>
      <c r="E71" s="30"/>
      <c r="F71" s="31"/>
      <c r="G71" s="29"/>
      <c r="H71" s="32"/>
      <c r="I71" s="37"/>
      <c r="J71" s="32"/>
      <c r="K71" s="33"/>
      <c r="L71" s="34">
        <f t="shared" si="3"/>
        <v>0</v>
      </c>
    </row>
    <row r="72" ht="15.75" customHeight="1">
      <c r="A72" s="20"/>
      <c r="B72" s="35"/>
      <c r="C72" s="20"/>
      <c r="D72" s="21"/>
      <c r="E72" s="22" t="s">
        <v>105</v>
      </c>
      <c r="F72" s="23" t="s">
        <v>27</v>
      </c>
      <c r="G72" s="21"/>
      <c r="H72" s="24"/>
      <c r="I72" s="38"/>
      <c r="J72" s="24"/>
      <c r="K72" s="26" t="str">
        <f>I71</f>
        <v/>
      </c>
      <c r="L72" s="34">
        <f t="shared" si="3"/>
        <v>0</v>
      </c>
    </row>
    <row r="73" ht="15.75" customHeight="1">
      <c r="A73" s="28"/>
      <c r="B73" s="33"/>
      <c r="C73" s="28"/>
      <c r="D73" s="29"/>
      <c r="E73" s="30"/>
      <c r="F73" s="31"/>
      <c r="G73" s="29"/>
      <c r="H73" s="32"/>
      <c r="I73" s="37"/>
      <c r="J73" s="32"/>
      <c r="K73" s="33"/>
      <c r="L73" s="34">
        <f t="shared" si="3"/>
        <v>0</v>
      </c>
    </row>
    <row r="74" ht="15.75" customHeight="1">
      <c r="A74" s="20" t="s">
        <v>106</v>
      </c>
      <c r="B74" s="35"/>
      <c r="C74" s="20" t="s">
        <v>107</v>
      </c>
      <c r="D74" s="21"/>
      <c r="E74" s="22" t="s">
        <v>108</v>
      </c>
      <c r="F74" s="23" t="s">
        <v>109</v>
      </c>
      <c r="G74" s="21"/>
      <c r="H74" s="24">
        <f>16985</f>
        <v>16985</v>
      </c>
      <c r="I74" s="38">
        <v>-22500.0</v>
      </c>
      <c r="J74" s="24">
        <f>H74-I74</f>
        <v>39485</v>
      </c>
      <c r="K74" s="26">
        <v>39485.0</v>
      </c>
      <c r="L74" s="34">
        <f t="shared" si="3"/>
        <v>0</v>
      </c>
    </row>
    <row r="75" ht="15.75" customHeight="1">
      <c r="A75" s="28"/>
      <c r="B75" s="33"/>
      <c r="C75" s="28"/>
      <c r="D75" s="29"/>
      <c r="E75" s="30"/>
      <c r="F75" s="46"/>
      <c r="G75" s="47"/>
      <c r="H75" s="32"/>
      <c r="I75" s="37"/>
      <c r="J75" s="32"/>
      <c r="K75" s="33"/>
      <c r="L75" s="34">
        <f t="shared" si="3"/>
        <v>0</v>
      </c>
    </row>
    <row r="76" ht="15.0" customHeight="1">
      <c r="A76" s="20" t="s">
        <v>24</v>
      </c>
      <c r="B76" s="35"/>
      <c r="C76" s="20" t="s">
        <v>110</v>
      </c>
      <c r="D76" s="21"/>
      <c r="E76" s="23" t="s">
        <v>108</v>
      </c>
      <c r="F76" s="48" t="s">
        <v>111</v>
      </c>
      <c r="G76" s="35"/>
      <c r="H76" s="26">
        <v>3000.0</v>
      </c>
      <c r="I76" s="38">
        <v>0.0</v>
      </c>
      <c r="J76" s="24">
        <f>H76-I76</f>
        <v>3000</v>
      </c>
      <c r="K76" s="26">
        <v>3000.0</v>
      </c>
      <c r="L76" s="34">
        <f t="shared" si="3"/>
        <v>0</v>
      </c>
    </row>
    <row r="77" ht="15.75" customHeight="1">
      <c r="A77" s="28"/>
      <c r="B77" s="33"/>
      <c r="C77" s="28"/>
      <c r="D77" s="29"/>
      <c r="E77" s="31"/>
      <c r="F77" s="28"/>
      <c r="G77" s="33"/>
      <c r="H77" s="33"/>
      <c r="I77" s="37"/>
      <c r="J77" s="32"/>
      <c r="K77" s="33"/>
      <c r="L77" s="34">
        <f t="shared" si="3"/>
        <v>0</v>
      </c>
    </row>
    <row r="78" ht="15.75" customHeight="1">
      <c r="A78" s="20" t="s">
        <v>112</v>
      </c>
      <c r="B78" s="35"/>
      <c r="C78" s="20" t="s">
        <v>113</v>
      </c>
      <c r="D78" s="21"/>
      <c r="E78" s="23" t="s">
        <v>114</v>
      </c>
      <c r="F78" s="48" t="s">
        <v>115</v>
      </c>
      <c r="G78" s="35"/>
      <c r="H78" s="26">
        <f>138113.68-17699.18</f>
        <v>120414.5</v>
      </c>
      <c r="I78" s="38">
        <v>-17699.18</v>
      </c>
      <c r="J78" s="24">
        <f>H78-I78</f>
        <v>138113.68</v>
      </c>
      <c r="K78" s="26">
        <v>100000.0</v>
      </c>
      <c r="L78" s="34">
        <f t="shared" si="3"/>
        <v>38113.68</v>
      </c>
    </row>
    <row r="79" ht="15.75" customHeight="1">
      <c r="A79" s="28"/>
      <c r="B79" s="33"/>
      <c r="C79" s="28"/>
      <c r="D79" s="29"/>
      <c r="E79" s="31"/>
      <c r="F79" s="28"/>
      <c r="G79" s="33"/>
      <c r="H79" s="33"/>
      <c r="I79" s="37"/>
      <c r="J79" s="32"/>
      <c r="K79" s="33"/>
      <c r="L79" s="34">
        <f t="shared" si="3"/>
        <v>0</v>
      </c>
    </row>
    <row r="80" ht="15.0" customHeight="1">
      <c r="A80" s="20" t="s">
        <v>62</v>
      </c>
      <c r="B80" s="35"/>
      <c r="C80" s="20" t="s">
        <v>116</v>
      </c>
      <c r="D80" s="21"/>
      <c r="E80" s="23" t="s">
        <v>117</v>
      </c>
      <c r="F80" s="48" t="s">
        <v>118</v>
      </c>
      <c r="G80" s="35"/>
      <c r="H80" s="26">
        <f>175+350+325+200</f>
        <v>1050</v>
      </c>
      <c r="I80" s="38"/>
      <c r="J80" s="24">
        <f>H80-I80</f>
        <v>1050</v>
      </c>
      <c r="K80" s="26">
        <v>1050.0</v>
      </c>
      <c r="L80" s="34">
        <f t="shared" si="3"/>
        <v>0</v>
      </c>
    </row>
    <row r="81" ht="15.75" customHeight="1">
      <c r="A81" s="28"/>
      <c r="B81" s="33"/>
      <c r="C81" s="28"/>
      <c r="D81" s="29"/>
      <c r="E81" s="31"/>
      <c r="F81" s="28"/>
      <c r="G81" s="33"/>
      <c r="H81" s="33"/>
      <c r="I81" s="37"/>
      <c r="J81" s="32"/>
      <c r="K81" s="33"/>
      <c r="L81" s="34">
        <f t="shared" si="3"/>
        <v>0</v>
      </c>
    </row>
    <row r="82" ht="15.75" customHeight="1">
      <c r="A82" s="20" t="s">
        <v>119</v>
      </c>
      <c r="B82" s="35"/>
      <c r="C82" s="20" t="s">
        <v>33</v>
      </c>
      <c r="D82" s="21"/>
      <c r="E82" s="23" t="s">
        <v>120</v>
      </c>
      <c r="F82" s="48" t="s">
        <v>121</v>
      </c>
      <c r="G82" s="35"/>
      <c r="H82" s="26"/>
      <c r="I82" s="38">
        <v>-1596.84</v>
      </c>
      <c r="J82" s="24">
        <f>H82-I82</f>
        <v>1596.84</v>
      </c>
      <c r="K82" s="26">
        <v>1596.84</v>
      </c>
      <c r="L82" s="34">
        <f t="shared" si="3"/>
        <v>0</v>
      </c>
    </row>
    <row r="83" ht="15.75" customHeight="1">
      <c r="A83" s="28"/>
      <c r="B83" s="33"/>
      <c r="C83" s="28"/>
      <c r="D83" s="29"/>
      <c r="E83" s="31"/>
      <c r="F83" s="28"/>
      <c r="G83" s="33"/>
      <c r="H83" s="33"/>
      <c r="I83" s="37"/>
      <c r="J83" s="32"/>
      <c r="K83" s="33"/>
      <c r="L83" s="34">
        <f t="shared" si="3"/>
        <v>0</v>
      </c>
    </row>
    <row r="84" ht="15.75" customHeight="1">
      <c r="A84" s="20" t="s">
        <v>122</v>
      </c>
      <c r="B84" s="35"/>
      <c r="C84" s="20" t="s">
        <v>123</v>
      </c>
      <c r="D84" s="21"/>
      <c r="E84" s="23" t="s">
        <v>124</v>
      </c>
      <c r="F84" s="48" t="s">
        <v>125</v>
      </c>
      <c r="G84" s="35"/>
      <c r="H84" s="26"/>
      <c r="I84" s="38">
        <v>-2299.6</v>
      </c>
      <c r="J84" s="24">
        <f>H84-I84</f>
        <v>2299.6</v>
      </c>
      <c r="K84" s="26">
        <v>2299.6</v>
      </c>
      <c r="L84" s="34">
        <f t="shared" si="3"/>
        <v>0</v>
      </c>
    </row>
    <row r="85" ht="15.75" customHeight="1">
      <c r="A85" s="28"/>
      <c r="B85" s="33"/>
      <c r="C85" s="28"/>
      <c r="D85" s="29"/>
      <c r="E85" s="31"/>
      <c r="F85" s="28"/>
      <c r="G85" s="33"/>
      <c r="H85" s="33"/>
      <c r="I85" s="37"/>
      <c r="J85" s="32"/>
      <c r="K85" s="33"/>
      <c r="L85" s="34">
        <f t="shared" si="3"/>
        <v>0</v>
      </c>
    </row>
    <row r="86" ht="15.0" customHeight="1">
      <c r="A86" s="20" t="s">
        <v>39</v>
      </c>
      <c r="B86" s="35"/>
      <c r="C86" s="20" t="s">
        <v>126</v>
      </c>
      <c r="D86" s="21"/>
      <c r="E86" s="23" t="s">
        <v>127</v>
      </c>
      <c r="F86" s="48" t="s">
        <v>128</v>
      </c>
      <c r="G86" s="35"/>
      <c r="H86" s="26">
        <v>100.0</v>
      </c>
      <c r="I86" s="38"/>
      <c r="J86" s="24">
        <f>H86-I86</f>
        <v>100</v>
      </c>
      <c r="K86" s="26">
        <v>100.0</v>
      </c>
      <c r="L86" s="34">
        <f t="shared" si="3"/>
        <v>0</v>
      </c>
    </row>
    <row r="87" ht="15.75" customHeight="1">
      <c r="A87" s="28"/>
      <c r="B87" s="33"/>
      <c r="C87" s="28"/>
      <c r="D87" s="29"/>
      <c r="E87" s="31"/>
      <c r="F87" s="28"/>
      <c r="G87" s="33"/>
      <c r="H87" s="33"/>
      <c r="I87" s="37"/>
      <c r="J87" s="32"/>
      <c r="K87" s="33"/>
      <c r="L87" s="34">
        <f t="shared" si="3"/>
        <v>0</v>
      </c>
    </row>
    <row r="88" ht="15.0" customHeight="1">
      <c r="A88" s="20" t="s">
        <v>129</v>
      </c>
      <c r="B88" s="35"/>
      <c r="C88" s="20" t="s">
        <v>130</v>
      </c>
      <c r="D88" s="21"/>
      <c r="E88" s="23" t="s">
        <v>131</v>
      </c>
      <c r="F88" s="48" t="s">
        <v>132</v>
      </c>
      <c r="G88" s="35"/>
      <c r="H88" s="26">
        <v>1361.5</v>
      </c>
      <c r="I88" s="25"/>
      <c r="J88" s="24">
        <f>H88-I88</f>
        <v>1361.5</v>
      </c>
      <c r="K88" s="24">
        <v>1361.5</v>
      </c>
      <c r="L88" s="34">
        <f t="shared" si="3"/>
        <v>0</v>
      </c>
    </row>
    <row r="89" ht="15.75" customHeight="1">
      <c r="A89" s="28"/>
      <c r="B89" s="33"/>
      <c r="C89" s="28"/>
      <c r="D89" s="29"/>
      <c r="E89" s="31"/>
      <c r="F89" s="28"/>
      <c r="G89" s="33"/>
      <c r="H89" s="33"/>
      <c r="I89" s="30"/>
      <c r="J89" s="32"/>
      <c r="K89" s="32"/>
      <c r="L89" s="34">
        <f t="shared" si="3"/>
        <v>0</v>
      </c>
    </row>
    <row r="90" ht="15.75" customHeight="1">
      <c r="A90" s="20" t="s">
        <v>133</v>
      </c>
      <c r="B90" s="21"/>
      <c r="C90" s="20" t="s">
        <v>134</v>
      </c>
      <c r="D90" s="21"/>
      <c r="E90" s="22" t="s">
        <v>135</v>
      </c>
      <c r="F90" s="49" t="s">
        <v>136</v>
      </c>
      <c r="G90" s="47"/>
      <c r="H90" s="24">
        <v>6000.0</v>
      </c>
      <c r="I90" s="50"/>
      <c r="J90" s="26">
        <v>6000.0</v>
      </c>
      <c r="K90" s="26">
        <v>6000.0</v>
      </c>
      <c r="L90" s="34">
        <f t="shared" si="3"/>
        <v>0</v>
      </c>
    </row>
    <row r="91" ht="15.75" customHeight="1">
      <c r="A91" s="28"/>
      <c r="B91" s="29"/>
      <c r="C91" s="28"/>
      <c r="D91" s="29"/>
      <c r="E91" s="30"/>
      <c r="F91" s="31"/>
      <c r="G91" s="29"/>
      <c r="H91" s="32"/>
      <c r="I91" s="30"/>
      <c r="J91" s="33"/>
      <c r="K91" s="33"/>
      <c r="L91" s="34">
        <f t="shared" si="3"/>
        <v>0</v>
      </c>
    </row>
    <row r="92" ht="15.75" customHeight="1">
      <c r="A92" s="20" t="s">
        <v>137</v>
      </c>
      <c r="B92" s="21"/>
      <c r="C92" s="20"/>
      <c r="D92" s="21"/>
      <c r="E92" s="22" t="s">
        <v>138</v>
      </c>
      <c r="F92" s="23" t="s">
        <v>139</v>
      </c>
      <c r="G92" s="21"/>
      <c r="H92" s="24">
        <f>682.5+1137.5+650+910+455+22294</f>
        <v>26129</v>
      </c>
      <c r="I92" s="50">
        <f>-1509.83-6439.84-4769.38-894.72-2479.44</f>
        <v>-16093.21</v>
      </c>
      <c r="J92" s="24">
        <f>H92-I92</f>
        <v>42222.21</v>
      </c>
      <c r="K92" s="26">
        <v>42222.21</v>
      </c>
      <c r="L92" s="34">
        <f t="shared" si="3"/>
        <v>0</v>
      </c>
    </row>
    <row r="93" ht="15.75" customHeight="1">
      <c r="A93" s="28"/>
      <c r="B93" s="29"/>
      <c r="C93" s="28"/>
      <c r="D93" s="29"/>
      <c r="E93" s="30"/>
      <c r="F93" s="31"/>
      <c r="G93" s="29"/>
      <c r="H93" s="32"/>
      <c r="I93" s="30"/>
      <c r="J93" s="32"/>
      <c r="K93" s="33"/>
      <c r="L93" s="34">
        <f t="shared" si="3"/>
        <v>0</v>
      </c>
    </row>
    <row r="94" ht="15.75" customHeight="1">
      <c r="A94" s="20" t="s">
        <v>140</v>
      </c>
      <c r="B94" s="21"/>
      <c r="C94" s="20" t="s">
        <v>141</v>
      </c>
      <c r="D94" s="21"/>
      <c r="E94" s="22" t="s">
        <v>142</v>
      </c>
      <c r="F94" s="23" t="s">
        <v>143</v>
      </c>
      <c r="G94" s="21"/>
      <c r="H94" s="24"/>
      <c r="I94" s="50">
        <v>-3746.45</v>
      </c>
      <c r="J94" s="24">
        <f>H94-I94</f>
        <v>3746.45</v>
      </c>
      <c r="K94" s="24">
        <v>3746.45</v>
      </c>
      <c r="L94" s="34">
        <f t="shared" si="3"/>
        <v>0</v>
      </c>
    </row>
    <row r="95" ht="15.75" customHeight="1">
      <c r="A95" s="28"/>
      <c r="B95" s="29"/>
      <c r="C95" s="28"/>
      <c r="D95" s="29"/>
      <c r="E95" s="30"/>
      <c r="F95" s="31"/>
      <c r="G95" s="29"/>
      <c r="H95" s="32"/>
      <c r="I95" s="30"/>
      <c r="J95" s="32"/>
      <c r="K95" s="32"/>
      <c r="L95" s="34">
        <f t="shared" si="3"/>
        <v>0</v>
      </c>
    </row>
    <row r="96" ht="15.75" customHeight="1">
      <c r="A96" s="20" t="s">
        <v>144</v>
      </c>
      <c r="B96" s="21"/>
      <c r="C96" s="20" t="s">
        <v>145</v>
      </c>
      <c r="D96" s="21"/>
      <c r="E96" s="22" t="s">
        <v>146</v>
      </c>
      <c r="F96" s="23" t="s">
        <v>147</v>
      </c>
      <c r="G96" s="21"/>
      <c r="H96" s="24">
        <f>150+3230</f>
        <v>3380</v>
      </c>
      <c r="I96" s="25">
        <v>-13436.2</v>
      </c>
      <c r="J96" s="24">
        <f>H96-I96</f>
        <v>16816.2</v>
      </c>
      <c r="K96" s="26">
        <v>16816.2</v>
      </c>
      <c r="L96" s="34">
        <f t="shared" si="3"/>
        <v>0</v>
      </c>
    </row>
    <row r="97" ht="15.75" customHeight="1">
      <c r="A97" s="28"/>
      <c r="B97" s="29"/>
      <c r="C97" s="28"/>
      <c r="D97" s="29"/>
      <c r="E97" s="30"/>
      <c r="F97" s="31"/>
      <c r="G97" s="29"/>
      <c r="H97" s="32"/>
      <c r="I97" s="30"/>
      <c r="J97" s="32"/>
      <c r="K97" s="33"/>
      <c r="L97" s="34">
        <f t="shared" si="3"/>
        <v>0</v>
      </c>
    </row>
    <row r="98" ht="15.75" customHeight="1">
      <c r="A98" s="20" t="s">
        <v>9</v>
      </c>
      <c r="B98" s="21"/>
      <c r="C98" s="20" t="s">
        <v>148</v>
      </c>
      <c r="D98" s="21"/>
      <c r="E98" s="22" t="s">
        <v>149</v>
      </c>
      <c r="F98" s="23" t="s">
        <v>150</v>
      </c>
      <c r="G98" s="21"/>
      <c r="H98" s="24">
        <v>1105.0</v>
      </c>
      <c r="I98" s="25"/>
      <c r="J98" s="24">
        <f>H98-I98</f>
        <v>1105</v>
      </c>
      <c r="K98" s="26">
        <v>1105.0</v>
      </c>
      <c r="L98" s="34">
        <f t="shared" si="3"/>
        <v>0</v>
      </c>
    </row>
    <row r="99" ht="15.75" customHeight="1">
      <c r="A99" s="28"/>
      <c r="B99" s="29"/>
      <c r="C99" s="28"/>
      <c r="D99" s="29"/>
      <c r="E99" s="30"/>
      <c r="F99" s="31"/>
      <c r="G99" s="29"/>
      <c r="H99" s="32"/>
      <c r="I99" s="30"/>
      <c r="J99" s="32"/>
      <c r="K99" s="33"/>
      <c r="L99" s="34">
        <f t="shared" si="3"/>
        <v>0</v>
      </c>
    </row>
    <row r="100" ht="15.75" customHeight="1">
      <c r="A100" s="20" t="s">
        <v>151</v>
      </c>
      <c r="B100" s="21"/>
      <c r="C100" s="20"/>
      <c r="D100" s="21"/>
      <c r="E100" s="22" t="s">
        <v>152</v>
      </c>
      <c r="F100" s="23" t="s">
        <v>153</v>
      </c>
      <c r="G100" s="21"/>
      <c r="H100" s="24">
        <v>134277.4</v>
      </c>
      <c r="I100" s="25">
        <v>-7263.63</v>
      </c>
      <c r="J100" s="24">
        <f>H100-I100</f>
        <v>141541.03</v>
      </c>
      <c r="K100" s="26"/>
      <c r="L100" s="34">
        <f t="shared" si="3"/>
        <v>141541.03</v>
      </c>
    </row>
    <row r="101" ht="15.75" customHeight="1">
      <c r="A101" s="28"/>
      <c r="B101" s="29"/>
      <c r="C101" s="28"/>
      <c r="D101" s="29"/>
      <c r="E101" s="30"/>
      <c r="F101" s="31"/>
      <c r="G101" s="29"/>
      <c r="H101" s="32"/>
      <c r="I101" s="30"/>
      <c r="J101" s="32"/>
      <c r="K101" s="33"/>
      <c r="L101" s="34">
        <f t="shared" si="3"/>
        <v>0</v>
      </c>
    </row>
    <row r="102" ht="15.75" customHeight="1">
      <c r="A102" s="20" t="s">
        <v>58</v>
      </c>
      <c r="B102" s="21"/>
      <c r="C102" s="20" t="s">
        <v>154</v>
      </c>
      <c r="D102" s="21"/>
      <c r="E102" s="22" t="s">
        <v>155</v>
      </c>
      <c r="F102" s="23" t="s">
        <v>156</v>
      </c>
      <c r="G102" s="21"/>
      <c r="H102" s="24">
        <v>51.0</v>
      </c>
      <c r="I102" s="25"/>
      <c r="J102" s="24">
        <f>H102-I102</f>
        <v>51</v>
      </c>
      <c r="K102" s="24">
        <v>51.0</v>
      </c>
      <c r="L102" s="34">
        <f t="shared" si="3"/>
        <v>0</v>
      </c>
    </row>
    <row r="103" ht="15.75" customHeight="1">
      <c r="A103" s="28"/>
      <c r="B103" s="29"/>
      <c r="C103" s="28"/>
      <c r="D103" s="29"/>
      <c r="E103" s="30"/>
      <c r="F103" s="31"/>
      <c r="G103" s="29"/>
      <c r="H103" s="32"/>
      <c r="I103" s="30"/>
      <c r="J103" s="32"/>
      <c r="K103" s="32"/>
      <c r="L103" s="34">
        <f t="shared" si="3"/>
        <v>0</v>
      </c>
    </row>
    <row r="104" ht="15.75" customHeight="1">
      <c r="A104" s="20" t="s">
        <v>39</v>
      </c>
      <c r="B104" s="21"/>
      <c r="C104" s="20" t="s">
        <v>157</v>
      </c>
      <c r="D104" s="21"/>
      <c r="E104" s="22" t="s">
        <v>155</v>
      </c>
      <c r="F104" s="23" t="s">
        <v>158</v>
      </c>
      <c r="G104" s="21"/>
      <c r="H104" s="24">
        <v>241.21</v>
      </c>
      <c r="I104" s="25"/>
      <c r="J104" s="26">
        <f>H104</f>
        <v>241.21</v>
      </c>
      <c r="K104" s="26">
        <v>241.21</v>
      </c>
      <c r="L104" s="34">
        <f t="shared" si="3"/>
        <v>0</v>
      </c>
    </row>
    <row r="105" ht="15.75" customHeight="1">
      <c r="A105" s="28"/>
      <c r="B105" s="29"/>
      <c r="C105" s="28"/>
      <c r="D105" s="29"/>
      <c r="E105" s="30"/>
      <c r="F105" s="31"/>
      <c r="G105" s="29"/>
      <c r="H105" s="32"/>
      <c r="I105" s="30"/>
      <c r="J105" s="33"/>
      <c r="K105" s="33"/>
      <c r="L105" s="34">
        <f t="shared" si="3"/>
        <v>0</v>
      </c>
    </row>
    <row r="106" ht="15.75" customHeight="1">
      <c r="A106" s="20" t="s">
        <v>159</v>
      </c>
      <c r="B106" s="21"/>
      <c r="C106" s="20" t="s">
        <v>160</v>
      </c>
      <c r="D106" s="21"/>
      <c r="E106" s="22" t="s">
        <v>161</v>
      </c>
      <c r="F106" s="23" t="s">
        <v>162</v>
      </c>
      <c r="G106" s="21"/>
      <c r="H106" s="24">
        <v>19715.35</v>
      </c>
      <c r="I106" s="38">
        <v>-65243.45</v>
      </c>
      <c r="J106" s="24">
        <f>H106-I106</f>
        <v>84958.8</v>
      </c>
      <c r="K106" s="26"/>
      <c r="L106" s="34">
        <f t="shared" si="3"/>
        <v>84958.8</v>
      </c>
    </row>
    <row r="107" ht="15.75" customHeight="1">
      <c r="A107" s="28"/>
      <c r="B107" s="29"/>
      <c r="C107" s="28"/>
      <c r="D107" s="29"/>
      <c r="E107" s="30"/>
      <c r="F107" s="31"/>
      <c r="G107" s="29"/>
      <c r="H107" s="32"/>
      <c r="I107" s="37"/>
      <c r="J107" s="32"/>
      <c r="K107" s="33"/>
      <c r="L107" s="34">
        <f t="shared" si="3"/>
        <v>0</v>
      </c>
    </row>
    <row r="108" ht="15.75" customHeight="1">
      <c r="A108" s="20" t="s">
        <v>163</v>
      </c>
      <c r="B108" s="21"/>
      <c r="C108" s="20" t="s">
        <v>164</v>
      </c>
      <c r="D108" s="21"/>
      <c r="E108" s="22" t="s">
        <v>165</v>
      </c>
      <c r="F108" s="23" t="s">
        <v>166</v>
      </c>
      <c r="G108" s="21"/>
      <c r="H108" s="24">
        <v>111637.84</v>
      </c>
      <c r="I108" s="38">
        <v>-9938.67</v>
      </c>
      <c r="J108" s="24">
        <f>H108-I108</f>
        <v>121576.51</v>
      </c>
      <c r="K108" s="26"/>
      <c r="L108" s="34">
        <f t="shared" si="3"/>
        <v>121576.51</v>
      </c>
    </row>
    <row r="109" ht="15.75" customHeight="1">
      <c r="A109" s="28"/>
      <c r="B109" s="29"/>
      <c r="C109" s="28"/>
      <c r="D109" s="29"/>
      <c r="E109" s="30"/>
      <c r="F109" s="31"/>
      <c r="G109" s="29"/>
      <c r="H109" s="32"/>
      <c r="I109" s="37"/>
      <c r="J109" s="32"/>
      <c r="K109" s="33"/>
      <c r="L109" s="34">
        <f t="shared" si="3"/>
        <v>0</v>
      </c>
    </row>
    <row r="110" ht="15.75" customHeight="1">
      <c r="A110" s="20" t="s">
        <v>167</v>
      </c>
      <c r="B110" s="21"/>
      <c r="C110" s="20" t="s">
        <v>168</v>
      </c>
      <c r="D110" s="21"/>
      <c r="E110" s="22" t="s">
        <v>169</v>
      </c>
      <c r="F110" s="23" t="s">
        <v>170</v>
      </c>
      <c r="G110" s="21"/>
      <c r="H110" s="24">
        <f>1268.25</f>
        <v>1268.25</v>
      </c>
      <c r="I110" s="38">
        <v>-320.0</v>
      </c>
      <c r="J110" s="24">
        <f>H110-I110</f>
        <v>1588.25</v>
      </c>
      <c r="K110" s="26">
        <v>1588.25</v>
      </c>
      <c r="L110" s="34">
        <f t="shared" si="3"/>
        <v>0</v>
      </c>
    </row>
    <row r="111" ht="15.75" customHeight="1">
      <c r="A111" s="28"/>
      <c r="B111" s="29"/>
      <c r="C111" s="28"/>
      <c r="D111" s="29"/>
      <c r="E111" s="30"/>
      <c r="F111" s="31"/>
      <c r="G111" s="29"/>
      <c r="H111" s="32"/>
      <c r="I111" s="37"/>
      <c r="J111" s="32"/>
      <c r="K111" s="33"/>
      <c r="L111" s="34">
        <f t="shared" si="3"/>
        <v>0</v>
      </c>
    </row>
    <row r="112" ht="15.75" customHeight="1">
      <c r="A112" s="20" t="s">
        <v>171</v>
      </c>
      <c r="B112" s="21"/>
      <c r="C112" s="20" t="s">
        <v>172</v>
      </c>
      <c r="D112" s="21"/>
      <c r="E112" s="22" t="s">
        <v>173</v>
      </c>
      <c r="F112" s="23" t="s">
        <v>174</v>
      </c>
      <c r="G112" s="21"/>
      <c r="H112" s="24">
        <f>1200+380.91</f>
        <v>1580.91</v>
      </c>
      <c r="I112" s="38">
        <v>-318.5</v>
      </c>
      <c r="J112" s="24">
        <f>H112-I112</f>
        <v>1899.41</v>
      </c>
      <c r="K112" s="26">
        <v>1899.41</v>
      </c>
      <c r="L112" s="34">
        <f t="shared" si="3"/>
        <v>0</v>
      </c>
    </row>
    <row r="113" ht="15.75" customHeight="1">
      <c r="A113" s="28"/>
      <c r="B113" s="29"/>
      <c r="C113" s="28"/>
      <c r="D113" s="29"/>
      <c r="E113" s="30"/>
      <c r="F113" s="31"/>
      <c r="G113" s="29"/>
      <c r="H113" s="32"/>
      <c r="I113" s="37"/>
      <c r="J113" s="32"/>
      <c r="K113" s="33"/>
      <c r="L113" s="34">
        <f t="shared" si="3"/>
        <v>0</v>
      </c>
    </row>
    <row r="114" ht="15.75" customHeight="1">
      <c r="A114" s="20" t="s">
        <v>163</v>
      </c>
      <c r="B114" s="21"/>
      <c r="C114" s="20" t="s">
        <v>175</v>
      </c>
      <c r="D114" s="21"/>
      <c r="E114" s="22" t="s">
        <v>176</v>
      </c>
      <c r="F114" s="23" t="s">
        <v>177</v>
      </c>
      <c r="G114" s="21"/>
      <c r="H114" s="24">
        <f>2180+34864.72</f>
        <v>37044.72</v>
      </c>
      <c r="I114" s="38">
        <f>-5040.83</f>
        <v>-5040.83</v>
      </c>
      <c r="J114" s="24">
        <f>H114-I114</f>
        <v>42085.55</v>
      </c>
      <c r="K114" s="26">
        <v>42085.55</v>
      </c>
      <c r="L114" s="34">
        <f t="shared" si="3"/>
        <v>0</v>
      </c>
    </row>
    <row r="115" ht="15.75" customHeight="1">
      <c r="A115" s="28"/>
      <c r="B115" s="29"/>
      <c r="C115" s="28"/>
      <c r="D115" s="29"/>
      <c r="E115" s="30"/>
      <c r="F115" s="31"/>
      <c r="G115" s="29"/>
      <c r="H115" s="32"/>
      <c r="I115" s="37"/>
      <c r="J115" s="32"/>
      <c r="K115" s="33"/>
      <c r="L115" s="34">
        <f t="shared" si="3"/>
        <v>0</v>
      </c>
    </row>
    <row r="116" ht="15.75" customHeight="1">
      <c r="A116" s="20" t="s">
        <v>9</v>
      </c>
      <c r="B116" s="21"/>
      <c r="C116" s="20" t="s">
        <v>178</v>
      </c>
      <c r="D116" s="21"/>
      <c r="E116" s="22" t="s">
        <v>179</v>
      </c>
      <c r="F116" s="23" t="s">
        <v>11</v>
      </c>
      <c r="G116" s="21"/>
      <c r="H116" s="24">
        <f>29280+1100+1663+14664.79</f>
        <v>46707.79</v>
      </c>
      <c r="I116" s="38">
        <v>-4743.84</v>
      </c>
      <c r="J116" s="24">
        <f>H116-I116</f>
        <v>51451.63</v>
      </c>
      <c r="K116" s="26">
        <v>51451.630000000005</v>
      </c>
      <c r="L116" s="34">
        <f t="shared" si="3"/>
        <v>0</v>
      </c>
    </row>
    <row r="117" ht="15.75" customHeight="1">
      <c r="A117" s="28"/>
      <c r="B117" s="29"/>
      <c r="C117" s="28"/>
      <c r="D117" s="29"/>
      <c r="E117" s="30"/>
      <c r="F117" s="31"/>
      <c r="G117" s="29"/>
      <c r="H117" s="32"/>
      <c r="I117" s="37"/>
      <c r="J117" s="32"/>
      <c r="K117" s="33"/>
      <c r="L117" s="34">
        <f t="shared" si="3"/>
        <v>0</v>
      </c>
    </row>
    <row r="118" ht="15.75" customHeight="1">
      <c r="A118" s="20" t="s">
        <v>12</v>
      </c>
      <c r="B118" s="21"/>
      <c r="C118" s="20" t="s">
        <v>178</v>
      </c>
      <c r="D118" s="21"/>
      <c r="E118" s="22" t="s">
        <v>179</v>
      </c>
      <c r="F118" s="23" t="s">
        <v>13</v>
      </c>
      <c r="G118" s="21"/>
      <c r="H118" s="24">
        <v>29280.0</v>
      </c>
      <c r="I118" s="38"/>
      <c r="J118" s="24">
        <f>H118</f>
        <v>29280</v>
      </c>
      <c r="K118" s="26">
        <v>29280.0</v>
      </c>
      <c r="L118" s="34">
        <f t="shared" si="3"/>
        <v>0</v>
      </c>
    </row>
    <row r="119" ht="15.75" customHeight="1">
      <c r="A119" s="28"/>
      <c r="B119" s="29"/>
      <c r="C119" s="28"/>
      <c r="D119" s="29"/>
      <c r="E119" s="30"/>
      <c r="F119" s="31"/>
      <c r="G119" s="29"/>
      <c r="H119" s="32"/>
      <c r="I119" s="37"/>
      <c r="J119" s="32"/>
      <c r="K119" s="33"/>
      <c r="L119" s="34">
        <f t="shared" si="3"/>
        <v>0</v>
      </c>
    </row>
    <row r="120" ht="15.75" customHeight="1">
      <c r="A120" s="20" t="s">
        <v>180</v>
      </c>
      <c r="B120" s="21"/>
      <c r="C120" s="20"/>
      <c r="D120" s="21"/>
      <c r="E120" s="22" t="s">
        <v>181</v>
      </c>
      <c r="F120" s="23" t="s">
        <v>182</v>
      </c>
      <c r="G120" s="21"/>
      <c r="H120" s="24">
        <f>462.5+315</f>
        <v>777.5</v>
      </c>
      <c r="I120" s="38"/>
      <c r="J120" s="26">
        <f>H120</f>
        <v>777.5</v>
      </c>
      <c r="K120" s="26">
        <v>777.5</v>
      </c>
      <c r="L120" s="34">
        <f t="shared" si="3"/>
        <v>0</v>
      </c>
    </row>
    <row r="121" ht="15.75" customHeight="1">
      <c r="A121" s="28"/>
      <c r="B121" s="29"/>
      <c r="C121" s="28"/>
      <c r="D121" s="29"/>
      <c r="E121" s="30"/>
      <c r="F121" s="31"/>
      <c r="G121" s="29"/>
      <c r="H121" s="32"/>
      <c r="I121" s="37"/>
      <c r="J121" s="33"/>
      <c r="K121" s="33"/>
      <c r="L121" s="34">
        <f t="shared" si="3"/>
        <v>0</v>
      </c>
    </row>
    <row r="122" ht="15.75" customHeight="1">
      <c r="A122" s="20" t="s">
        <v>43</v>
      </c>
      <c r="B122" s="21"/>
      <c r="C122" s="20"/>
      <c r="D122" s="21"/>
      <c r="E122" s="22" t="s">
        <v>183</v>
      </c>
      <c r="F122" s="23" t="s">
        <v>184</v>
      </c>
      <c r="G122" s="21"/>
      <c r="H122" s="24">
        <v>1800.0</v>
      </c>
      <c r="I122" s="38"/>
      <c r="J122" s="26">
        <f>H122</f>
        <v>1800</v>
      </c>
      <c r="K122" s="26">
        <v>1800.0</v>
      </c>
      <c r="L122" s="34">
        <f t="shared" si="3"/>
        <v>0</v>
      </c>
    </row>
    <row r="123" ht="15.75" customHeight="1">
      <c r="A123" s="28"/>
      <c r="B123" s="29"/>
      <c r="C123" s="28"/>
      <c r="D123" s="29"/>
      <c r="E123" s="30"/>
      <c r="F123" s="31"/>
      <c r="G123" s="29"/>
      <c r="H123" s="32"/>
      <c r="I123" s="37"/>
      <c r="J123" s="33"/>
      <c r="K123" s="33"/>
      <c r="L123" s="34">
        <f t="shared" si="3"/>
        <v>0</v>
      </c>
    </row>
    <row r="124" ht="15.75" customHeight="1">
      <c r="A124" s="20" t="s">
        <v>185</v>
      </c>
      <c r="B124" s="21"/>
      <c r="C124" s="20"/>
      <c r="D124" s="21"/>
      <c r="E124" s="22" t="s">
        <v>186</v>
      </c>
      <c r="F124" s="23" t="s">
        <v>187</v>
      </c>
      <c r="G124" s="21"/>
      <c r="H124" s="24">
        <v>0.0</v>
      </c>
      <c r="I124" s="38">
        <v>-14012.9</v>
      </c>
      <c r="J124" s="24">
        <f>H124-I124</f>
        <v>14012.9</v>
      </c>
      <c r="K124" s="26">
        <v>14012.9</v>
      </c>
      <c r="L124" s="34">
        <f t="shared" si="3"/>
        <v>0</v>
      </c>
    </row>
    <row r="125" ht="15.75" customHeight="1">
      <c r="A125" s="28"/>
      <c r="B125" s="29"/>
      <c r="C125" s="28"/>
      <c r="D125" s="29"/>
      <c r="E125" s="30"/>
      <c r="F125" s="31"/>
      <c r="G125" s="29"/>
      <c r="H125" s="32"/>
      <c r="I125" s="37"/>
      <c r="J125" s="32"/>
      <c r="K125" s="33"/>
      <c r="L125" s="34">
        <f t="shared" si="3"/>
        <v>0</v>
      </c>
    </row>
    <row r="126" ht="15.75" customHeight="1">
      <c r="A126" s="20" t="s">
        <v>188</v>
      </c>
      <c r="B126" s="21"/>
      <c r="C126" s="20"/>
      <c r="D126" s="21"/>
      <c r="E126" s="22" t="s">
        <v>189</v>
      </c>
      <c r="F126" s="23" t="s">
        <v>190</v>
      </c>
      <c r="G126" s="21"/>
      <c r="H126" s="24">
        <v>0.0</v>
      </c>
      <c r="I126" s="38">
        <v>-31123.85</v>
      </c>
      <c r="J126" s="24">
        <f>H126-I126</f>
        <v>31123.85</v>
      </c>
      <c r="K126" s="26">
        <v>31123.85</v>
      </c>
      <c r="L126" s="34">
        <f t="shared" si="3"/>
        <v>0</v>
      </c>
    </row>
    <row r="127" ht="15.75" customHeight="1">
      <c r="A127" s="28"/>
      <c r="B127" s="29"/>
      <c r="C127" s="28"/>
      <c r="D127" s="29"/>
      <c r="E127" s="30"/>
      <c r="F127" s="46"/>
      <c r="G127" s="47"/>
      <c r="H127" s="32"/>
      <c r="I127" s="37"/>
      <c r="J127" s="32"/>
      <c r="K127" s="33"/>
      <c r="L127" s="34">
        <f t="shared" si="3"/>
        <v>0</v>
      </c>
    </row>
    <row r="128" ht="26.25" customHeight="1">
      <c r="A128" s="51" t="s">
        <v>191</v>
      </c>
      <c r="B128" s="52"/>
      <c r="C128" s="51"/>
      <c r="D128" s="52"/>
      <c r="E128" s="49" t="s">
        <v>192</v>
      </c>
      <c r="F128" s="53" t="s">
        <v>193</v>
      </c>
      <c r="G128" s="3"/>
      <c r="H128" s="54">
        <v>332.07</v>
      </c>
      <c r="I128" s="55"/>
      <c r="J128" s="54">
        <f>H128</f>
        <v>332.07</v>
      </c>
      <c r="K128" s="54">
        <v>332.07</v>
      </c>
      <c r="L128" s="34">
        <f t="shared" si="3"/>
        <v>0</v>
      </c>
    </row>
    <row r="129" ht="15.75" customHeight="1">
      <c r="A129" s="20" t="s">
        <v>119</v>
      </c>
      <c r="B129" s="21"/>
      <c r="C129" s="20"/>
      <c r="D129" s="21"/>
      <c r="E129" s="22" t="s">
        <v>194</v>
      </c>
      <c r="F129" s="49" t="s">
        <v>121</v>
      </c>
      <c r="G129" s="47"/>
      <c r="H129" s="24">
        <v>5761.0</v>
      </c>
      <c r="I129" s="38">
        <v>-4242.8</v>
      </c>
      <c r="J129" s="56">
        <f>H129-I129</f>
        <v>10003.8</v>
      </c>
      <c r="K129" s="24">
        <v>10003.8</v>
      </c>
      <c r="L129" s="34">
        <f t="shared" si="3"/>
        <v>0</v>
      </c>
    </row>
    <row r="130" ht="15.75" customHeight="1">
      <c r="A130" s="28"/>
      <c r="B130" s="29"/>
      <c r="C130" s="28"/>
      <c r="D130" s="29"/>
      <c r="E130" s="30"/>
      <c r="F130" s="31"/>
      <c r="G130" s="29"/>
      <c r="H130" s="32"/>
      <c r="I130" s="37"/>
      <c r="J130" s="31"/>
      <c r="K130" s="32"/>
      <c r="L130" s="34">
        <f t="shared" si="3"/>
        <v>0</v>
      </c>
    </row>
    <row r="131" ht="15.75" customHeight="1">
      <c r="A131" s="20" t="s">
        <v>20</v>
      </c>
      <c r="B131" s="21"/>
      <c r="C131" s="20"/>
      <c r="D131" s="21"/>
      <c r="E131" s="22" t="s">
        <v>195</v>
      </c>
      <c r="F131" s="23" t="s">
        <v>196</v>
      </c>
      <c r="G131" s="21"/>
      <c r="H131" s="24">
        <f>650+1272+4225</f>
        <v>6147</v>
      </c>
      <c r="I131" s="57"/>
      <c r="J131" s="56">
        <f>H131-I131</f>
        <v>6147</v>
      </c>
      <c r="K131" s="24">
        <v>6147.0</v>
      </c>
      <c r="L131" s="34">
        <f t="shared" si="3"/>
        <v>0</v>
      </c>
    </row>
    <row r="132" ht="15.75" customHeight="1">
      <c r="A132" s="28"/>
      <c r="B132" s="29"/>
      <c r="C132" s="28"/>
      <c r="D132" s="29"/>
      <c r="E132" s="30"/>
      <c r="F132" s="31"/>
      <c r="G132" s="29"/>
      <c r="H132" s="32"/>
      <c r="I132" s="37"/>
      <c r="J132" s="31"/>
      <c r="K132" s="32"/>
      <c r="L132" s="34">
        <f t="shared" si="3"/>
        <v>0</v>
      </c>
    </row>
    <row r="133" ht="15.75" customHeight="1">
      <c r="A133" s="20" t="s">
        <v>20</v>
      </c>
      <c r="B133" s="21"/>
      <c r="C133" s="20"/>
      <c r="D133" s="21"/>
      <c r="E133" s="22" t="s">
        <v>197</v>
      </c>
      <c r="F133" s="23" t="s">
        <v>196</v>
      </c>
      <c r="G133" s="21"/>
      <c r="H133" s="24">
        <f>2446+3186</f>
        <v>5632</v>
      </c>
      <c r="I133" s="57"/>
      <c r="J133" s="56">
        <f>H133-I133</f>
        <v>5632</v>
      </c>
      <c r="K133" s="24">
        <v>5632.0</v>
      </c>
      <c r="L133" s="34">
        <f t="shared" si="3"/>
        <v>0</v>
      </c>
    </row>
    <row r="134" ht="15.75" customHeight="1">
      <c r="A134" s="28"/>
      <c r="B134" s="29"/>
      <c r="C134" s="28"/>
      <c r="D134" s="29"/>
      <c r="E134" s="30"/>
      <c r="F134" s="31"/>
      <c r="G134" s="29"/>
      <c r="H134" s="32"/>
      <c r="I134" s="37"/>
      <c r="J134" s="31"/>
      <c r="K134" s="32"/>
      <c r="L134" s="34">
        <f t="shared" si="3"/>
        <v>0</v>
      </c>
    </row>
    <row r="135" ht="15.75" customHeight="1">
      <c r="A135" s="20" t="s">
        <v>68</v>
      </c>
      <c r="B135" s="21"/>
      <c r="C135" s="20"/>
      <c r="D135" s="21"/>
      <c r="E135" s="22" t="s">
        <v>198</v>
      </c>
      <c r="F135" s="23" t="s">
        <v>199</v>
      </c>
      <c r="G135" s="21"/>
      <c r="H135" s="24"/>
      <c r="I135" s="57">
        <v>-3113.05</v>
      </c>
      <c r="J135" s="56">
        <f>H135-I135</f>
        <v>3113.05</v>
      </c>
      <c r="K135" s="24">
        <v>3113.05</v>
      </c>
      <c r="L135" s="34">
        <f t="shared" si="3"/>
        <v>0</v>
      </c>
    </row>
    <row r="136" ht="15.75" customHeight="1">
      <c r="A136" s="28"/>
      <c r="B136" s="29"/>
      <c r="C136" s="28"/>
      <c r="D136" s="29"/>
      <c r="E136" s="30"/>
      <c r="F136" s="31"/>
      <c r="G136" s="29"/>
      <c r="H136" s="32"/>
      <c r="I136" s="37"/>
      <c r="J136" s="31"/>
      <c r="K136" s="32"/>
      <c r="L136" s="34">
        <f t="shared" si="3"/>
        <v>0</v>
      </c>
    </row>
    <row r="137" ht="15.75" customHeight="1">
      <c r="A137" s="20" t="s">
        <v>39</v>
      </c>
      <c r="B137" s="21"/>
      <c r="C137" s="20"/>
      <c r="D137" s="21"/>
      <c r="E137" s="22" t="s">
        <v>200</v>
      </c>
      <c r="F137" s="23" t="s">
        <v>158</v>
      </c>
      <c r="G137" s="21"/>
      <c r="H137" s="24">
        <f>116.87+243.15</f>
        <v>360.02</v>
      </c>
      <c r="I137" s="57"/>
      <c r="J137" s="26">
        <f>H137</f>
        <v>360.02</v>
      </c>
      <c r="K137" s="26">
        <v>360.02</v>
      </c>
      <c r="L137" s="34">
        <f t="shared" si="3"/>
        <v>0</v>
      </c>
    </row>
    <row r="138" ht="15.75" customHeight="1">
      <c r="A138" s="28"/>
      <c r="B138" s="29"/>
      <c r="C138" s="28"/>
      <c r="D138" s="29"/>
      <c r="E138" s="30"/>
      <c r="F138" s="31"/>
      <c r="G138" s="29"/>
      <c r="H138" s="32"/>
      <c r="I138" s="37"/>
      <c r="J138" s="33"/>
      <c r="K138" s="33"/>
      <c r="L138" s="34">
        <f t="shared" si="3"/>
        <v>0</v>
      </c>
    </row>
    <row r="139" ht="15.75" customHeight="1">
      <c r="A139" s="58"/>
      <c r="B139" s="58"/>
      <c r="C139" s="41"/>
      <c r="D139" s="41"/>
      <c r="E139" s="42"/>
      <c r="F139" s="59"/>
      <c r="G139" s="60"/>
      <c r="H139" s="43"/>
      <c r="I139" s="61"/>
      <c r="J139" s="45"/>
      <c r="K139" s="62"/>
      <c r="L139" s="34"/>
    </row>
    <row r="140" ht="15.75" customHeight="1">
      <c r="A140" s="63"/>
      <c r="B140" s="35"/>
      <c r="C140" s="20"/>
      <c r="D140" s="21"/>
      <c r="E140" s="22"/>
      <c r="F140" s="23"/>
      <c r="G140" s="60"/>
      <c r="H140" s="24"/>
      <c r="I140" s="24"/>
      <c r="J140" s="24">
        <f>SUM(J5:J138)</f>
        <v>2285248.3</v>
      </c>
      <c r="K140" s="24">
        <f t="shared" ref="K140:L140" si="4">SUM(K5:K139)</f>
        <v>958171.85</v>
      </c>
      <c r="L140" s="34">
        <f t="shared" si="4"/>
        <v>1327076.45</v>
      </c>
    </row>
    <row r="141" ht="15.75" customHeight="1">
      <c r="A141" s="28"/>
      <c r="B141" s="33"/>
      <c r="C141" s="28"/>
      <c r="D141" s="29"/>
      <c r="E141" s="30"/>
      <c r="F141" s="31"/>
      <c r="G141" s="64"/>
      <c r="H141" s="32"/>
      <c r="I141" s="32"/>
      <c r="J141" s="32"/>
      <c r="K141" s="32"/>
    </row>
    <row r="142" ht="15.75" customHeight="1">
      <c r="A142" s="65"/>
      <c r="B142" s="65"/>
      <c r="C142" s="65"/>
      <c r="D142" s="66" t="s">
        <v>201</v>
      </c>
      <c r="E142" s="67"/>
      <c r="F142" s="65"/>
      <c r="G142" s="66" t="s">
        <v>202</v>
      </c>
      <c r="H142" s="66"/>
      <c r="I142" s="66" t="s">
        <v>203</v>
      </c>
      <c r="J142" s="68">
        <f>J140</f>
        <v>2285248.3</v>
      </c>
      <c r="K142" s="69"/>
    </row>
    <row r="143" ht="15.75" customHeight="1">
      <c r="A143" s="70"/>
      <c r="B143" s="70"/>
      <c r="C143" s="70"/>
      <c r="D143" s="66" t="s">
        <v>204</v>
      </c>
      <c r="E143" s="71"/>
      <c r="F143" s="70"/>
      <c r="G143" s="66"/>
      <c r="H143" s="66"/>
      <c r="I143" s="66"/>
      <c r="J143" s="72">
        <v>-958171.85</v>
      </c>
      <c r="K143" s="73"/>
    </row>
    <row r="144" ht="15.75" customHeight="1">
      <c r="A144" s="74"/>
      <c r="F144" s="75"/>
      <c r="G144" s="76"/>
      <c r="H144" s="76"/>
      <c r="I144" s="76"/>
      <c r="J144" s="77"/>
      <c r="K144" s="77"/>
    </row>
    <row r="145" ht="15.75" customHeight="1">
      <c r="H145" s="78" t="s">
        <v>205</v>
      </c>
      <c r="I145" s="79"/>
      <c r="J145" s="80">
        <f>SUM(J142:J144)</f>
        <v>1327076.45</v>
      </c>
    </row>
    <row r="146" ht="15.75" customHeight="1"/>
    <row r="147" ht="15.75" customHeight="1">
      <c r="H147" s="81" t="s">
        <v>206</v>
      </c>
    </row>
    <row r="148" ht="15.75" customHeight="1">
      <c r="H148" s="81" t="s">
        <v>207</v>
      </c>
    </row>
    <row r="149" ht="15.75" customHeight="1"/>
    <row r="150" ht="15.75" customHeight="1"/>
    <row r="151" ht="15.75" customHeight="1">
      <c r="J151" s="81" t="s">
        <v>208</v>
      </c>
      <c r="K151" s="82">
        <v>962772.44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5">
    <mergeCell ref="J15:J16"/>
    <mergeCell ref="K15:K16"/>
    <mergeCell ref="A13:B14"/>
    <mergeCell ref="A15:B16"/>
    <mergeCell ref="C15:D16"/>
    <mergeCell ref="E15:E16"/>
    <mergeCell ref="F15:G16"/>
    <mergeCell ref="H15:H16"/>
    <mergeCell ref="I15:I16"/>
    <mergeCell ref="C17:D18"/>
    <mergeCell ref="E17:E18"/>
    <mergeCell ref="F17:G18"/>
    <mergeCell ref="H17:H18"/>
    <mergeCell ref="I17:I18"/>
    <mergeCell ref="J17:J18"/>
    <mergeCell ref="K17:K18"/>
    <mergeCell ref="A17:B18"/>
    <mergeCell ref="A19:B20"/>
    <mergeCell ref="C19:D20"/>
    <mergeCell ref="E19:E20"/>
    <mergeCell ref="F19:G20"/>
    <mergeCell ref="H19:H20"/>
    <mergeCell ref="I19:I20"/>
    <mergeCell ref="I21:I22"/>
    <mergeCell ref="J21:J22"/>
    <mergeCell ref="J19:J20"/>
    <mergeCell ref="K19:K20"/>
    <mergeCell ref="C21:D22"/>
    <mergeCell ref="E21:E22"/>
    <mergeCell ref="F21:G22"/>
    <mergeCell ref="H21:H22"/>
    <mergeCell ref="K21:K22"/>
    <mergeCell ref="J23:J24"/>
    <mergeCell ref="K23:K24"/>
    <mergeCell ref="A21:B22"/>
    <mergeCell ref="A23:B24"/>
    <mergeCell ref="C23:D24"/>
    <mergeCell ref="E23:E24"/>
    <mergeCell ref="F23:G24"/>
    <mergeCell ref="H23:H24"/>
    <mergeCell ref="I23:I24"/>
    <mergeCell ref="C25:D26"/>
    <mergeCell ref="E25:E26"/>
    <mergeCell ref="F25:G26"/>
    <mergeCell ref="H25:H26"/>
    <mergeCell ref="I25:I26"/>
    <mergeCell ref="J25:J26"/>
    <mergeCell ref="K25:K26"/>
    <mergeCell ref="A25:B26"/>
    <mergeCell ref="A27:B28"/>
    <mergeCell ref="C27:D28"/>
    <mergeCell ref="E27:E28"/>
    <mergeCell ref="F27:G28"/>
    <mergeCell ref="H27:H28"/>
    <mergeCell ref="I27:I28"/>
    <mergeCell ref="I29:I30"/>
    <mergeCell ref="J29:J30"/>
    <mergeCell ref="J27:J28"/>
    <mergeCell ref="K27:K28"/>
    <mergeCell ref="C29:D30"/>
    <mergeCell ref="E29:E30"/>
    <mergeCell ref="F29:G30"/>
    <mergeCell ref="H29:H30"/>
    <mergeCell ref="K29:K30"/>
    <mergeCell ref="J31:J32"/>
    <mergeCell ref="K31:K32"/>
    <mergeCell ref="A29:B30"/>
    <mergeCell ref="A31:B32"/>
    <mergeCell ref="C31:D32"/>
    <mergeCell ref="E31:E32"/>
    <mergeCell ref="F31:G32"/>
    <mergeCell ref="H31:H32"/>
    <mergeCell ref="I31:I32"/>
    <mergeCell ref="A9:B10"/>
    <mergeCell ref="A11:B12"/>
    <mergeCell ref="C11:D12"/>
    <mergeCell ref="E11:E12"/>
    <mergeCell ref="F11:G12"/>
    <mergeCell ref="H11:H12"/>
    <mergeCell ref="I11:I12"/>
    <mergeCell ref="C13:D14"/>
    <mergeCell ref="E13:E14"/>
    <mergeCell ref="F13:G14"/>
    <mergeCell ref="H13:H14"/>
    <mergeCell ref="I13:I14"/>
    <mergeCell ref="J13:J14"/>
    <mergeCell ref="K13:K14"/>
    <mergeCell ref="I5:I6"/>
    <mergeCell ref="J5:J6"/>
    <mergeCell ref="K5:K6"/>
    <mergeCell ref="A1:J1"/>
    <mergeCell ref="A2:F2"/>
    <mergeCell ref="G2:J2"/>
    <mergeCell ref="A4:B4"/>
    <mergeCell ref="C4:D4"/>
    <mergeCell ref="F4:G4"/>
    <mergeCell ref="A5:B6"/>
    <mergeCell ref="F9:G10"/>
    <mergeCell ref="H9:H10"/>
    <mergeCell ref="I9:I10"/>
    <mergeCell ref="J9:J10"/>
    <mergeCell ref="K9:K10"/>
    <mergeCell ref="F5:G6"/>
    <mergeCell ref="H5:H6"/>
    <mergeCell ref="F7:G8"/>
    <mergeCell ref="H7:H8"/>
    <mergeCell ref="I7:I8"/>
    <mergeCell ref="J7:J8"/>
    <mergeCell ref="K7:K8"/>
    <mergeCell ref="C5:D6"/>
    <mergeCell ref="E5:E6"/>
    <mergeCell ref="A7:B8"/>
    <mergeCell ref="C7:D8"/>
    <mergeCell ref="E7:E8"/>
    <mergeCell ref="C9:D10"/>
    <mergeCell ref="E9:E10"/>
    <mergeCell ref="J11:J12"/>
    <mergeCell ref="K11:K12"/>
    <mergeCell ref="J51:J52"/>
    <mergeCell ref="K51:K52"/>
    <mergeCell ref="C33:D34"/>
    <mergeCell ref="E33:E34"/>
    <mergeCell ref="F33:G34"/>
    <mergeCell ref="H33:H34"/>
    <mergeCell ref="I33:I34"/>
    <mergeCell ref="J33:J34"/>
    <mergeCell ref="K33:K34"/>
    <mergeCell ref="A33:B34"/>
    <mergeCell ref="A35:B36"/>
    <mergeCell ref="C35:D36"/>
    <mergeCell ref="E35:E36"/>
    <mergeCell ref="F35:G36"/>
    <mergeCell ref="H35:H36"/>
    <mergeCell ref="I35:I36"/>
    <mergeCell ref="I37:I38"/>
    <mergeCell ref="J37:J38"/>
    <mergeCell ref="J35:J36"/>
    <mergeCell ref="K35:K36"/>
    <mergeCell ref="C37:D38"/>
    <mergeCell ref="E37:E38"/>
    <mergeCell ref="F37:G38"/>
    <mergeCell ref="H37:H38"/>
    <mergeCell ref="K37:K38"/>
    <mergeCell ref="J39:J40"/>
    <mergeCell ref="K39:K40"/>
    <mergeCell ref="A37:B38"/>
    <mergeCell ref="A39:B40"/>
    <mergeCell ref="C39:D40"/>
    <mergeCell ref="E39:E40"/>
    <mergeCell ref="F39:G40"/>
    <mergeCell ref="H39:H40"/>
    <mergeCell ref="I39:I40"/>
    <mergeCell ref="C41:D42"/>
    <mergeCell ref="E41:E42"/>
    <mergeCell ref="F41:G42"/>
    <mergeCell ref="H41:H42"/>
    <mergeCell ref="I41:I42"/>
    <mergeCell ref="J41:J42"/>
    <mergeCell ref="K41:K42"/>
    <mergeCell ref="A41:B42"/>
    <mergeCell ref="A43:B44"/>
    <mergeCell ref="C43:D44"/>
    <mergeCell ref="E43:E44"/>
    <mergeCell ref="F43:G44"/>
    <mergeCell ref="H43:H44"/>
    <mergeCell ref="I43:I44"/>
    <mergeCell ref="I45:I46"/>
    <mergeCell ref="J45:J46"/>
    <mergeCell ref="J43:J44"/>
    <mergeCell ref="K43:K44"/>
    <mergeCell ref="C45:D46"/>
    <mergeCell ref="E45:E46"/>
    <mergeCell ref="F45:G46"/>
    <mergeCell ref="H45:H46"/>
    <mergeCell ref="K45:K46"/>
    <mergeCell ref="J47:J48"/>
    <mergeCell ref="K47:K48"/>
    <mergeCell ref="A45:B46"/>
    <mergeCell ref="A47:B48"/>
    <mergeCell ref="C47:D48"/>
    <mergeCell ref="E47:E48"/>
    <mergeCell ref="F47:G48"/>
    <mergeCell ref="H47:H48"/>
    <mergeCell ref="I47:I48"/>
    <mergeCell ref="C57:D58"/>
    <mergeCell ref="E57:E58"/>
    <mergeCell ref="F57:G58"/>
    <mergeCell ref="H57:H58"/>
    <mergeCell ref="I57:I58"/>
    <mergeCell ref="J57:J58"/>
    <mergeCell ref="K57:K58"/>
    <mergeCell ref="A57:B58"/>
    <mergeCell ref="A59:B60"/>
    <mergeCell ref="C59:D60"/>
    <mergeCell ref="E59:E60"/>
    <mergeCell ref="F59:G60"/>
    <mergeCell ref="H59:H60"/>
    <mergeCell ref="I59:I60"/>
    <mergeCell ref="C61:D62"/>
    <mergeCell ref="E61:E62"/>
    <mergeCell ref="F61:G62"/>
    <mergeCell ref="H61:H62"/>
    <mergeCell ref="I61:I62"/>
    <mergeCell ref="J61:J62"/>
    <mergeCell ref="K61:K62"/>
    <mergeCell ref="A61:B62"/>
    <mergeCell ref="A63:B64"/>
    <mergeCell ref="C63:D64"/>
    <mergeCell ref="E63:E64"/>
    <mergeCell ref="F63:G64"/>
    <mergeCell ref="H63:H64"/>
    <mergeCell ref="I63:I64"/>
    <mergeCell ref="I65:I66"/>
    <mergeCell ref="J65:J66"/>
    <mergeCell ref="J63:J64"/>
    <mergeCell ref="K63:K64"/>
    <mergeCell ref="C65:D66"/>
    <mergeCell ref="E65:E66"/>
    <mergeCell ref="F65:G66"/>
    <mergeCell ref="H65:H66"/>
    <mergeCell ref="K65:K66"/>
    <mergeCell ref="C70:D71"/>
    <mergeCell ref="E70:E71"/>
    <mergeCell ref="F70:G71"/>
    <mergeCell ref="H70:H71"/>
    <mergeCell ref="I70:I71"/>
    <mergeCell ref="J70:J71"/>
    <mergeCell ref="K70:K71"/>
    <mergeCell ref="A70:B71"/>
    <mergeCell ref="A72:B73"/>
    <mergeCell ref="C72:D73"/>
    <mergeCell ref="E72:E73"/>
    <mergeCell ref="F72:G73"/>
    <mergeCell ref="H72:H73"/>
    <mergeCell ref="I72:I73"/>
    <mergeCell ref="I74:I75"/>
    <mergeCell ref="J74:J75"/>
    <mergeCell ref="J72:J73"/>
    <mergeCell ref="K72:K73"/>
    <mergeCell ref="C74:D75"/>
    <mergeCell ref="E74:E75"/>
    <mergeCell ref="F74:G75"/>
    <mergeCell ref="H74:H75"/>
    <mergeCell ref="K74:K75"/>
    <mergeCell ref="J76:J77"/>
    <mergeCell ref="K76:K77"/>
    <mergeCell ref="A74:B75"/>
    <mergeCell ref="A76:B77"/>
    <mergeCell ref="C76:D77"/>
    <mergeCell ref="E76:E77"/>
    <mergeCell ref="F76:G77"/>
    <mergeCell ref="H76:H77"/>
    <mergeCell ref="I76:I77"/>
    <mergeCell ref="C78:D79"/>
    <mergeCell ref="E78:E79"/>
    <mergeCell ref="F78:G79"/>
    <mergeCell ref="H78:H79"/>
    <mergeCell ref="I78:I79"/>
    <mergeCell ref="J78:J79"/>
    <mergeCell ref="K78:K79"/>
    <mergeCell ref="A78:B79"/>
    <mergeCell ref="A80:B81"/>
    <mergeCell ref="C80:D81"/>
    <mergeCell ref="E80:E81"/>
    <mergeCell ref="F80:G81"/>
    <mergeCell ref="H80:H81"/>
    <mergeCell ref="I80:I81"/>
    <mergeCell ref="I82:I83"/>
    <mergeCell ref="J82:J83"/>
    <mergeCell ref="J80:J81"/>
    <mergeCell ref="K80:K81"/>
    <mergeCell ref="C82:D83"/>
    <mergeCell ref="E82:E83"/>
    <mergeCell ref="F82:G83"/>
    <mergeCell ref="H82:H83"/>
    <mergeCell ref="K82:K83"/>
    <mergeCell ref="J84:J85"/>
    <mergeCell ref="K84:K85"/>
    <mergeCell ref="A82:B83"/>
    <mergeCell ref="A84:B85"/>
    <mergeCell ref="C84:D85"/>
    <mergeCell ref="E84:E85"/>
    <mergeCell ref="F84:G85"/>
    <mergeCell ref="H84:H85"/>
    <mergeCell ref="I84:I85"/>
    <mergeCell ref="C86:D87"/>
    <mergeCell ref="E86:E87"/>
    <mergeCell ref="F86:G87"/>
    <mergeCell ref="H86:H87"/>
    <mergeCell ref="I86:I87"/>
    <mergeCell ref="J86:J87"/>
    <mergeCell ref="K86:K87"/>
    <mergeCell ref="A86:B87"/>
    <mergeCell ref="A88:B89"/>
    <mergeCell ref="C88:D89"/>
    <mergeCell ref="E88:E89"/>
    <mergeCell ref="F88:G89"/>
    <mergeCell ref="H88:H89"/>
    <mergeCell ref="I88:I89"/>
    <mergeCell ref="I90:I91"/>
    <mergeCell ref="J90:J91"/>
    <mergeCell ref="J88:J89"/>
    <mergeCell ref="K88:K89"/>
    <mergeCell ref="C90:D91"/>
    <mergeCell ref="E90:E91"/>
    <mergeCell ref="F90:G91"/>
    <mergeCell ref="H90:H91"/>
    <mergeCell ref="K90:K91"/>
    <mergeCell ref="J92:J93"/>
    <mergeCell ref="K92:K93"/>
    <mergeCell ref="A90:B91"/>
    <mergeCell ref="A92:B93"/>
    <mergeCell ref="C92:D93"/>
    <mergeCell ref="E92:E93"/>
    <mergeCell ref="F92:G93"/>
    <mergeCell ref="H92:H93"/>
    <mergeCell ref="I92:I93"/>
    <mergeCell ref="C94:D95"/>
    <mergeCell ref="E94:E95"/>
    <mergeCell ref="F94:G95"/>
    <mergeCell ref="H94:H95"/>
    <mergeCell ref="I94:I95"/>
    <mergeCell ref="J94:J95"/>
    <mergeCell ref="K94:K95"/>
    <mergeCell ref="A94:B95"/>
    <mergeCell ref="A96:B97"/>
    <mergeCell ref="C96:D97"/>
    <mergeCell ref="E96:E97"/>
    <mergeCell ref="F96:G97"/>
    <mergeCell ref="H96:H97"/>
    <mergeCell ref="I96:I97"/>
    <mergeCell ref="I98:I99"/>
    <mergeCell ref="J98:J99"/>
    <mergeCell ref="J96:J97"/>
    <mergeCell ref="K96:K97"/>
    <mergeCell ref="C98:D99"/>
    <mergeCell ref="E98:E99"/>
    <mergeCell ref="F98:G99"/>
    <mergeCell ref="H98:H99"/>
    <mergeCell ref="K98:K99"/>
    <mergeCell ref="J100:J101"/>
    <mergeCell ref="K100:K101"/>
    <mergeCell ref="A98:B99"/>
    <mergeCell ref="A100:B101"/>
    <mergeCell ref="C100:D101"/>
    <mergeCell ref="E100:E101"/>
    <mergeCell ref="F100:G101"/>
    <mergeCell ref="H100:H101"/>
    <mergeCell ref="I100:I101"/>
    <mergeCell ref="J68:J69"/>
    <mergeCell ref="K68:K69"/>
    <mergeCell ref="A65:B66"/>
    <mergeCell ref="A68:B69"/>
    <mergeCell ref="C68:D69"/>
    <mergeCell ref="E68:E69"/>
    <mergeCell ref="F68:G69"/>
    <mergeCell ref="H68:H69"/>
    <mergeCell ref="I68:I69"/>
    <mergeCell ref="C49:D50"/>
    <mergeCell ref="E49:E50"/>
    <mergeCell ref="F49:G50"/>
    <mergeCell ref="H49:H50"/>
    <mergeCell ref="I49:I50"/>
    <mergeCell ref="J49:J50"/>
    <mergeCell ref="K49:K50"/>
    <mergeCell ref="A49:B50"/>
    <mergeCell ref="A51:B52"/>
    <mergeCell ref="C51:D52"/>
    <mergeCell ref="E51:E52"/>
    <mergeCell ref="F51:G52"/>
    <mergeCell ref="H51:H52"/>
    <mergeCell ref="I51:I52"/>
    <mergeCell ref="C53:D54"/>
    <mergeCell ref="E53:E54"/>
    <mergeCell ref="F53:G54"/>
    <mergeCell ref="H53:H54"/>
    <mergeCell ref="I53:I54"/>
    <mergeCell ref="J53:J54"/>
    <mergeCell ref="K53:K54"/>
    <mergeCell ref="J55:J56"/>
    <mergeCell ref="K55:K56"/>
    <mergeCell ref="A53:B54"/>
    <mergeCell ref="A55:B56"/>
    <mergeCell ref="C55:D56"/>
    <mergeCell ref="E55:E56"/>
    <mergeCell ref="F55:G56"/>
    <mergeCell ref="H55:H56"/>
    <mergeCell ref="I55:I56"/>
    <mergeCell ref="J59:J60"/>
    <mergeCell ref="K59:K60"/>
    <mergeCell ref="J120:J121"/>
    <mergeCell ref="K120:K121"/>
    <mergeCell ref="A126:B127"/>
    <mergeCell ref="C126:D127"/>
    <mergeCell ref="E126:E127"/>
    <mergeCell ref="H126:H127"/>
    <mergeCell ref="I126:I127"/>
    <mergeCell ref="J126:J127"/>
    <mergeCell ref="K126:K127"/>
    <mergeCell ref="F126:G127"/>
    <mergeCell ref="F128:G128"/>
    <mergeCell ref="A129:B130"/>
    <mergeCell ref="C129:D130"/>
    <mergeCell ref="E129:E130"/>
    <mergeCell ref="F129:G130"/>
    <mergeCell ref="H129:H130"/>
    <mergeCell ref="C118:D119"/>
    <mergeCell ref="E118:E119"/>
    <mergeCell ref="F118:G119"/>
    <mergeCell ref="H118:H119"/>
    <mergeCell ref="I118:I119"/>
    <mergeCell ref="J118:J119"/>
    <mergeCell ref="K118:K119"/>
    <mergeCell ref="A118:B119"/>
    <mergeCell ref="A120:B121"/>
    <mergeCell ref="C120:D121"/>
    <mergeCell ref="E120:E121"/>
    <mergeCell ref="F120:G121"/>
    <mergeCell ref="H120:H121"/>
    <mergeCell ref="I120:I121"/>
    <mergeCell ref="C122:D123"/>
    <mergeCell ref="E122:E123"/>
    <mergeCell ref="F122:G123"/>
    <mergeCell ref="H122:H123"/>
    <mergeCell ref="I122:I123"/>
    <mergeCell ref="J122:J123"/>
    <mergeCell ref="K122:K123"/>
    <mergeCell ref="J124:J125"/>
    <mergeCell ref="K124:K125"/>
    <mergeCell ref="A122:B123"/>
    <mergeCell ref="A124:B125"/>
    <mergeCell ref="C124:D125"/>
    <mergeCell ref="E124:E125"/>
    <mergeCell ref="F124:G125"/>
    <mergeCell ref="H124:H125"/>
    <mergeCell ref="I124:I125"/>
    <mergeCell ref="I129:I130"/>
    <mergeCell ref="J129:J130"/>
    <mergeCell ref="K129:K130"/>
    <mergeCell ref="J133:J134"/>
    <mergeCell ref="K133:K134"/>
    <mergeCell ref="C102:D103"/>
    <mergeCell ref="E102:E103"/>
    <mergeCell ref="F102:G103"/>
    <mergeCell ref="H102:H103"/>
    <mergeCell ref="I102:I103"/>
    <mergeCell ref="J102:J103"/>
    <mergeCell ref="K102:K103"/>
    <mergeCell ref="A102:B103"/>
    <mergeCell ref="A104:B105"/>
    <mergeCell ref="C104:D105"/>
    <mergeCell ref="E104:E105"/>
    <mergeCell ref="F104:G105"/>
    <mergeCell ref="H104:H105"/>
    <mergeCell ref="I104:I105"/>
    <mergeCell ref="I106:I107"/>
    <mergeCell ref="J106:J107"/>
    <mergeCell ref="J104:J105"/>
    <mergeCell ref="K104:K105"/>
    <mergeCell ref="C106:D107"/>
    <mergeCell ref="E106:E107"/>
    <mergeCell ref="F106:G107"/>
    <mergeCell ref="H106:H107"/>
    <mergeCell ref="K106:K107"/>
    <mergeCell ref="J108:J109"/>
    <mergeCell ref="K108:K109"/>
    <mergeCell ref="A106:B107"/>
    <mergeCell ref="A108:B109"/>
    <mergeCell ref="C108:D109"/>
    <mergeCell ref="E108:E109"/>
    <mergeCell ref="F108:G109"/>
    <mergeCell ref="H108:H109"/>
    <mergeCell ref="I108:I109"/>
    <mergeCell ref="C110:D111"/>
    <mergeCell ref="E110:E111"/>
    <mergeCell ref="F110:G111"/>
    <mergeCell ref="H110:H111"/>
    <mergeCell ref="I110:I111"/>
    <mergeCell ref="J110:J111"/>
    <mergeCell ref="K110:K111"/>
    <mergeCell ref="A110:B111"/>
    <mergeCell ref="A112:B113"/>
    <mergeCell ref="C112:D113"/>
    <mergeCell ref="E112:E113"/>
    <mergeCell ref="F112:G113"/>
    <mergeCell ref="H112:H113"/>
    <mergeCell ref="I112:I113"/>
    <mergeCell ref="I114:I115"/>
    <mergeCell ref="J114:J115"/>
    <mergeCell ref="J112:J113"/>
    <mergeCell ref="K112:K113"/>
    <mergeCell ref="C114:D115"/>
    <mergeCell ref="E114:E115"/>
    <mergeCell ref="F114:G115"/>
    <mergeCell ref="H114:H115"/>
    <mergeCell ref="K114:K115"/>
    <mergeCell ref="J116:J117"/>
    <mergeCell ref="K116:K117"/>
    <mergeCell ref="A114:B115"/>
    <mergeCell ref="A116:B117"/>
    <mergeCell ref="C116:D117"/>
    <mergeCell ref="E116:E117"/>
    <mergeCell ref="F116:G117"/>
    <mergeCell ref="H116:H117"/>
    <mergeCell ref="I116:I117"/>
    <mergeCell ref="C131:D132"/>
    <mergeCell ref="E131:E132"/>
    <mergeCell ref="F131:G132"/>
    <mergeCell ref="H131:H132"/>
    <mergeCell ref="I131:I132"/>
    <mergeCell ref="J131:J132"/>
    <mergeCell ref="K131:K132"/>
    <mergeCell ref="A131:B132"/>
    <mergeCell ref="A133:B134"/>
    <mergeCell ref="C133:D134"/>
    <mergeCell ref="E133:E134"/>
    <mergeCell ref="F133:G134"/>
    <mergeCell ref="H133:H134"/>
    <mergeCell ref="I133:I134"/>
    <mergeCell ref="C135:D136"/>
    <mergeCell ref="E135:E136"/>
    <mergeCell ref="F135:G136"/>
    <mergeCell ref="H135:H136"/>
    <mergeCell ref="I135:I136"/>
    <mergeCell ref="J135:J136"/>
    <mergeCell ref="K135:K136"/>
    <mergeCell ref="J137:J138"/>
    <mergeCell ref="K137:K138"/>
    <mergeCell ref="A135:B136"/>
    <mergeCell ref="A137:B138"/>
    <mergeCell ref="C137:D138"/>
    <mergeCell ref="E137:E138"/>
    <mergeCell ref="F137:G138"/>
    <mergeCell ref="H137:H138"/>
    <mergeCell ref="I137:I138"/>
    <mergeCell ref="C140:D141"/>
    <mergeCell ref="A144:E144"/>
    <mergeCell ref="H145:I145"/>
    <mergeCell ref="A140:B141"/>
    <mergeCell ref="E140:E141"/>
    <mergeCell ref="F140:F141"/>
    <mergeCell ref="H140:H141"/>
    <mergeCell ref="I140:I141"/>
    <mergeCell ref="J140:J141"/>
    <mergeCell ref="K140:K14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2025-08-27T04:37:37Z</dcterms:created>
  <dc:creator>User</dc:creator>
</cp:coreProperties>
</file>