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Product List" sheetId="1" r:id="rId4"/>
    <sheet state="visible" name="Arixa SOV" sheetId="2" r:id="rId5"/>
  </sheets>
  <definedNames>
    <definedName hidden="1" localSheetId="0" name="_xlnm._FilterDatabase">'Product List'!$A$1:$V$999</definedName>
  </definedNames>
  <calcPr/>
  <extLst>
    <ext uri="GoogleSheetsCustomDataVersion2">
      <go:sheetsCustomData xmlns:go="http://customooxmlschemas.google.com/" r:id="rId6" roundtripDataChecksum="V7/SuedynPWn+bc4TkV3jOG4YGwQ/H2LZo0tAvZLkNg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R31">
      <text>
        <t xml:space="preserve">Difference from Rich Development is due to contract contribution
======</t>
      </text>
    </comment>
    <comment authorId="0" ref="R41">
      <text>
        <t xml:space="preserve">Difference from Rich Development is due to contract contribution
======</t>
      </text>
    </comment>
  </commentList>
</comments>
</file>

<file path=xl/sharedStrings.xml><?xml version="1.0" encoding="utf-8"?>
<sst xmlns="http://schemas.openxmlformats.org/spreadsheetml/2006/main" count="465" uniqueCount="430">
  <si>
    <t>ABATEMENT/REMEDIATION/ASBESTOS</t>
  </si>
  <si>
    <t>01u6S000018BAIdQAO</t>
  </si>
  <si>
    <t>01t6S00000BhEQIQA3</t>
  </si>
  <si>
    <t>ADU</t>
  </si>
  <si>
    <t>01u6S00001842qmQAA</t>
  </si>
  <si>
    <t>01t6S00000BGzOMQA1</t>
  </si>
  <si>
    <t>APPLIANCES</t>
  </si>
  <si>
    <t>01u6S000016ZYr8QAG</t>
  </si>
  <si>
    <t>01t6S00000BGmgVQAT</t>
  </si>
  <si>
    <t>ARCHITECTURAL AND ENGINEERING</t>
  </si>
  <si>
    <t>01u6S000016ZYrpQAG</t>
  </si>
  <si>
    <t>01t6S00000BGmgXQAT</t>
  </si>
  <si>
    <t>BATHROOM</t>
  </si>
  <si>
    <t>01u6S000018BAIeQAO</t>
  </si>
  <si>
    <t>01t6S00000BhEQJQA3</t>
  </si>
  <si>
    <t>BUILDING CLEAN-UP</t>
  </si>
  <si>
    <t>01u6S000016ZYroQAG</t>
  </si>
  <si>
    <t>01t6S00000BGmhEQAT</t>
  </si>
  <si>
    <t>CABINETS</t>
  </si>
  <si>
    <t>01u6S000016ZYrnQAG</t>
  </si>
  <si>
    <t>01t6S00000BGmgUQAT</t>
  </si>
  <si>
    <t>COMPLETION AND INSPECTION</t>
  </si>
  <si>
    <t>01u6S000016ZYrlQAG</t>
  </si>
  <si>
    <t>01t6S00000BGmggQAD</t>
  </si>
  <si>
    <t>CONCRETE</t>
  </si>
  <si>
    <t>01u6S000016ZYrkQAG</t>
  </si>
  <si>
    <t>01t6S00000BGmgxQAD</t>
  </si>
  <si>
    <t>CONCRETE SUBFLOOR</t>
  </si>
  <si>
    <t>01u6S00001844JrQAI</t>
  </si>
  <si>
    <t>01t6S00000BH1bXQAT</t>
  </si>
  <si>
    <t>CONCRETE WALL</t>
  </si>
  <si>
    <t>01u6S00001844JsQAI</t>
  </si>
  <si>
    <t>01t6S00000BH1bTQAT</t>
  </si>
  <si>
    <t>CONTINGENCY</t>
  </si>
  <si>
    <t>01u6S000016ZYrjQAG</t>
  </si>
  <si>
    <t>01t6S00000BGmgfQAD</t>
  </si>
  <si>
    <t>CURB &amp; GUTTER</t>
  </si>
  <si>
    <t>01u6S000018BAIfQAO</t>
  </si>
  <si>
    <t>01t6S00000BhEQXQA3</t>
  </si>
  <si>
    <t>DECKS/BALCONIES/PATIOS</t>
  </si>
  <si>
    <t>01u6S00001842qnQAA</t>
  </si>
  <si>
    <t>01t6S00000BGzO9QAL</t>
  </si>
  <si>
    <t>DEMOLITION</t>
  </si>
  <si>
    <t>01u6S000016ZYriQAG</t>
  </si>
  <si>
    <t>01t6S00000BGmgmQAD</t>
  </si>
  <si>
    <t>DRIVEWAY</t>
  </si>
  <si>
    <t>01u6S000016ZYrhQAG</t>
  </si>
  <si>
    <t>01t6S00000BGmhGQAT</t>
  </si>
  <si>
    <t>DRY UTILITES</t>
  </si>
  <si>
    <t>01u6S000018BAIgQAO</t>
  </si>
  <si>
    <t>01t6S00000BhEQKQA3</t>
  </si>
  <si>
    <t>DRYWALL</t>
  </si>
  <si>
    <t>01u6S000016ZYrgQAG</t>
  </si>
  <si>
    <t>01t6S00000BGmhBQAT</t>
  </si>
  <si>
    <t>ELEVATOR</t>
  </si>
  <si>
    <t>01u6S000016ZYrfQAG</t>
  </si>
  <si>
    <t>01t6S00000BGmhAQAT</t>
  </si>
  <si>
    <t>EXTERIOR PAINTING</t>
  </si>
  <si>
    <t>01u6S000016ZYrdQAG</t>
  </si>
  <si>
    <t>01t6S00000BGmhNQAT</t>
  </si>
  <si>
    <t>EXTERIOR TRIM</t>
  </si>
  <si>
    <t>01u6S000016ZYrcQAG</t>
  </si>
  <si>
    <t>01t6S00000BGmhMQAT</t>
  </si>
  <si>
    <t>EXTERIOR VENEER/STUCCO</t>
  </si>
  <si>
    <t>01u6S000016ZYrbQAG</t>
  </si>
  <si>
    <t>01t6S00000BGmh3QAD</t>
  </si>
  <si>
    <t>FENCES</t>
  </si>
  <si>
    <t>01u6S00001844JtQAI</t>
  </si>
  <si>
    <t>01t6S00000BH1bcQAD</t>
  </si>
  <si>
    <t>FIELD EQUIPMENT</t>
  </si>
  <si>
    <t>01u6S000016ZYraQAG</t>
  </si>
  <si>
    <t>01t6S00000BGmgdQAD</t>
  </si>
  <si>
    <t>FINISH CARPENTRY/MILLWORK</t>
  </si>
  <si>
    <t>01u6S00001842qoQAA</t>
  </si>
  <si>
    <t>01t6S00000BGzOGQA1</t>
  </si>
  <si>
    <t>FINISH ELECTRICAL</t>
  </si>
  <si>
    <t>01u6S000016ZYrZQAW</t>
  </si>
  <si>
    <t>01t6S00000BGmhIQAT</t>
  </si>
  <si>
    <t>FINISH HARDWEAR</t>
  </si>
  <si>
    <t>01u6S00001842qpQAA</t>
  </si>
  <si>
    <t>01t6S00000BGzOFQA1</t>
  </si>
  <si>
    <t>FINISH HVAC</t>
  </si>
  <si>
    <t>01u6S000016ZYrYQAW</t>
  </si>
  <si>
    <t>01t6S00000BGmhKQAT</t>
  </si>
  <si>
    <t>FINISH PLUMBING</t>
  </si>
  <si>
    <t>01u6S000016ZYrXQAW</t>
  </si>
  <si>
    <t>01t6S00000BGmhHQAT</t>
  </si>
  <si>
    <t>FINISH PLUMBING &amp; ELECTRICAL</t>
  </si>
  <si>
    <t>01uRN000000K3o9YAC</t>
  </si>
  <si>
    <t>01tRN000001ORUj</t>
  </si>
  <si>
    <t>FIRE SPRINKLERS</t>
  </si>
  <si>
    <t>01u6S000016ZYrWQAW</t>
  </si>
  <si>
    <t>01t6S00000BGmgzQAD</t>
  </si>
  <si>
    <t>FIREPLACE</t>
  </si>
  <si>
    <t>01u6S00001842qqQAA</t>
  </si>
  <si>
    <t>01t6S00000BGzOAQA1</t>
  </si>
  <si>
    <t>FIXTURES</t>
  </si>
  <si>
    <t>01u6S000018BAIhQAO</t>
  </si>
  <si>
    <t>01t6S00000BhEQcQAN</t>
  </si>
  <si>
    <t>FLOORING</t>
  </si>
  <si>
    <t>01u6S000016ZYrVQAW</t>
  </si>
  <si>
    <t>01t6S00000BGmhOQAT</t>
  </si>
  <si>
    <t>FOOTING AND FOUNDATIONS</t>
  </si>
  <si>
    <t>01u6S000016ZYrUQAW</t>
  </si>
  <si>
    <t>01t6S00000BGmgqQAD</t>
  </si>
  <si>
    <t>FRAMING</t>
  </si>
  <si>
    <t>01u6S000016ZYrTQAW</t>
  </si>
  <si>
    <t>01t6S00000BGmgwQAD</t>
  </si>
  <si>
    <t>GARAGE DOOR</t>
  </si>
  <si>
    <t>01u6S00001842qrQAA</t>
  </si>
  <si>
    <t>01t6S00000BGzOHQA1</t>
  </si>
  <si>
    <t>GC FEE</t>
  </si>
  <si>
    <t>01u6S00001844JuQAI</t>
  </si>
  <si>
    <t>01t6S00000BH1bSQAT</t>
  </si>
  <si>
    <t>GLASS/GLAZING</t>
  </si>
  <si>
    <t>01u6S00001842qsQAA</t>
  </si>
  <si>
    <t>01t6S00000BGzOEQA1</t>
  </si>
  <si>
    <t>GRADING &amp; EXCAVATION</t>
  </si>
  <si>
    <t>01u6S00001842qtQAA</t>
  </si>
  <si>
    <t>01t6S00000BGzO6QAL</t>
  </si>
  <si>
    <t>HARDSCAPE</t>
  </si>
  <si>
    <t>01u6S000016ZYrSQAW</t>
  </si>
  <si>
    <t>01t6S00000BGmhDQAT</t>
  </si>
  <si>
    <t>HARDWEAR</t>
  </si>
  <si>
    <t>01u6S00001842quQAA</t>
  </si>
  <si>
    <t>01t6S00000BGzO7QAL</t>
  </si>
  <si>
    <t>HAULING/TRASH OUT/DUMPSTERS</t>
  </si>
  <si>
    <t>01u6S00001842qvQAA</t>
  </si>
  <si>
    <t>01t6S00000BGzO5QAL</t>
  </si>
  <si>
    <t>INDIRECT CONSTRUCTION</t>
  </si>
  <si>
    <t>01u6S000016ZYrRQAW</t>
  </si>
  <si>
    <t>01t6S00000BGmgeQAD</t>
  </si>
  <si>
    <t>INSULATION</t>
  </si>
  <si>
    <t>01u6S000016ZYrQQAW</t>
  </si>
  <si>
    <t>01t6S00000BGmh7QAD</t>
  </si>
  <si>
    <t>INSURANCE</t>
  </si>
  <si>
    <t>01u6S000016ZYrPQAW</t>
  </si>
  <si>
    <t>01t6S00000BGmglQAD</t>
  </si>
  <si>
    <t>INTERIOR DESIGN</t>
  </si>
  <si>
    <t>01u6S000016ZYrOQAW</t>
  </si>
  <si>
    <t>01t6S00000BGmgYQAT</t>
  </si>
  <si>
    <t>INTERIOR DOORS</t>
  </si>
  <si>
    <t>01u6S00001842qwQAA</t>
  </si>
  <si>
    <t>01t6S00000BGzOCQA1</t>
  </si>
  <si>
    <t>INTERIOR PAINTING</t>
  </si>
  <si>
    <t>01u6S00001842qxQAA</t>
  </si>
  <si>
    <t>01t6S00000BGzOBQA1</t>
  </si>
  <si>
    <t>INTERIOR TRIM</t>
  </si>
  <si>
    <t>01u6S000016ZYrNQAW</t>
  </si>
  <si>
    <t>01t6S00000BGmhPQAT</t>
  </si>
  <si>
    <t>INTERIOR/EXTERIOR PAINT</t>
  </si>
  <si>
    <t>01uRN000000K3kvYAC</t>
  </si>
  <si>
    <t>01tRN000001ONkV</t>
  </si>
  <si>
    <t>KITCHEN</t>
  </si>
  <si>
    <t>01u6S000018BAIiQAO</t>
  </si>
  <si>
    <t>01t6S00000BhEQNQA3</t>
  </si>
  <si>
    <t>LANDSCAPE/HARDSCAPE</t>
  </si>
  <si>
    <t>01uRN000000K3rNYAS</t>
  </si>
  <si>
    <t>01tRN000001OQs2</t>
  </si>
  <si>
    <t>LANDSCAPING</t>
  </si>
  <si>
    <t>01u6S000016ZYrMQAW</t>
  </si>
  <si>
    <t>01t6S00000BGmhFQAT</t>
  </si>
  <si>
    <t>LOW VOLTAGE</t>
  </si>
  <si>
    <t>01u6S00001842qyQAA</t>
  </si>
  <si>
    <t>01t6S00000BGzO8QAL</t>
  </si>
  <si>
    <t>MASONRY</t>
  </si>
  <si>
    <t>01u6S000016ZYrLQAW</t>
  </si>
  <si>
    <t>01t6S00000BGmh5QAD</t>
  </si>
  <si>
    <t>METALS AND GUTTER</t>
  </si>
  <si>
    <t>01u6S000016ZYrKQAW</t>
  </si>
  <si>
    <t>01t6S00000BGmh8QAD</t>
  </si>
  <si>
    <t>MISCELLANEOUS</t>
  </si>
  <si>
    <t>01u6S000018BAIjQAO</t>
  </si>
  <si>
    <t>01t6S00000BhEQOQA3</t>
  </si>
  <si>
    <t>ORNAMETAL IRON</t>
  </si>
  <si>
    <t>01u6S000016ZYrJQAW</t>
  </si>
  <si>
    <t>01t6S00000BGmhLQAT</t>
  </si>
  <si>
    <t>OTHER</t>
  </si>
  <si>
    <t>01u6S00001844JvQAI</t>
  </si>
  <si>
    <t>01t6S00000BH1bhQAD</t>
  </si>
  <si>
    <t>OVERHEAD</t>
  </si>
  <si>
    <t>01u6S000016ZYrIQAW</t>
  </si>
  <si>
    <t>01t6S00000BGmgiQAD</t>
  </si>
  <si>
    <t>PERMITS AND FEES</t>
  </si>
  <si>
    <t>01u6S000016ZYrHQAW</t>
  </si>
  <si>
    <t>01t6S00000BGmgWQAT</t>
  </si>
  <si>
    <t>POOL</t>
  </si>
  <si>
    <t>01u6S000016ZYrGQAW</t>
  </si>
  <si>
    <t>01t6S00000BGmhCQAT</t>
  </si>
  <si>
    <t>PROJECT COMPLETION</t>
  </si>
  <si>
    <t>01uRN000000K3hhYAC</t>
  </si>
  <si>
    <t>01tRN000001OQdX</t>
  </si>
  <si>
    <t>RETAINING WALLS</t>
  </si>
  <si>
    <t>01u6S000016ZYrFQAW</t>
  </si>
  <si>
    <t>01t6S00000BGmgoQAD</t>
  </si>
  <si>
    <t>ROOFING</t>
  </si>
  <si>
    <t>01u6S000016ZYrEQAW</t>
  </si>
  <si>
    <t>01t6S00000BGmh4QAD</t>
  </si>
  <si>
    <t>ROUGH ELECTRICAL</t>
  </si>
  <si>
    <t>01u6S000016ZYrDQAW</t>
  </si>
  <si>
    <t>01t6S00000BGmh1QAD</t>
  </si>
  <si>
    <t>ROUGH HVAC</t>
  </si>
  <si>
    <t>01u6S000016ZYrCQAW</t>
  </si>
  <si>
    <t>01t6S00000BGmh2QAD</t>
  </si>
  <si>
    <t>ROUGH MEP</t>
  </si>
  <si>
    <t>01uRN000000K3ubYAC</t>
  </si>
  <si>
    <t>01tRN000001OROH</t>
  </si>
  <si>
    <t>ROUGH PLUMBING</t>
  </si>
  <si>
    <t>01u6S000016ZYrBQAW</t>
  </si>
  <si>
    <t>01t6S00000BGmh0QAD</t>
  </si>
  <si>
    <t>ROUGH SHEET METAL</t>
  </si>
  <si>
    <t>01u6S000016ZYrAQAW</t>
  </si>
  <si>
    <t>01t6S00000BGmgyQAD</t>
  </si>
  <si>
    <t>ROUGH STRUCTURE</t>
  </si>
  <si>
    <t>01u6S000016ZYr9QAG</t>
  </si>
  <si>
    <t>01t6S00000BGmguQAD</t>
  </si>
  <si>
    <t>SEWER</t>
  </si>
  <si>
    <t>01u6S000018BAIkQAO</t>
  </si>
  <si>
    <t>01t6S00000BhEQSQA3</t>
  </si>
  <si>
    <t>SHORING</t>
  </si>
  <si>
    <t>01u6S000016ZYrqQAG</t>
  </si>
  <si>
    <t>01t6S00000BGmgpQAD</t>
  </si>
  <si>
    <t>SITE DRAINAGE</t>
  </si>
  <si>
    <t>01u6S000016ZYrrQAG</t>
  </si>
  <si>
    <t>01t6S00000BGmgsQAD</t>
  </si>
  <si>
    <t>SITE WORK</t>
  </si>
  <si>
    <t>01u6S000016ZYrsQAG</t>
  </si>
  <si>
    <t>01t6S00000BGmgcQAD</t>
  </si>
  <si>
    <t>SOFT COST</t>
  </si>
  <si>
    <t>01uRN000000K3xpYAC</t>
  </si>
  <si>
    <t>01tRN000001OO5T</t>
  </si>
  <si>
    <t>SOLAR</t>
  </si>
  <si>
    <t>01u6S000016ZYrtQAG</t>
  </si>
  <si>
    <t>01t6S00000BGmhJQAT</t>
  </si>
  <si>
    <t>SPECIALTIES</t>
  </si>
  <si>
    <t>01u6S00001842qzQAA</t>
  </si>
  <si>
    <t>01t6S00000BGzOIQA1</t>
  </si>
  <si>
    <t>STAIRS</t>
  </si>
  <si>
    <t>01u6S000016ZYruQAG</t>
  </si>
  <si>
    <t>01t6S00000BGmh9QAD</t>
  </si>
  <si>
    <t>STEEL</t>
  </si>
  <si>
    <t>01u6S000016ZYrvQAG</t>
  </si>
  <si>
    <t>01t6S00000BGmgvQAD</t>
  </si>
  <si>
    <t>STONE &amp; COUNTERTOPS</t>
  </si>
  <si>
    <t>01u6S000016ZYrwQAG</t>
  </si>
  <si>
    <t>01t6S00000BGmgTQAT</t>
  </si>
  <si>
    <t>SUPERVISION &amp; MANAGEMENT</t>
  </si>
  <si>
    <t>01u6S000016ZYrxQAG</t>
  </si>
  <si>
    <t>01t6S00000BGmgjQAD</t>
  </si>
  <si>
    <t>TAXES</t>
  </si>
  <si>
    <t>01u6S000016ZYryQAG</t>
  </si>
  <si>
    <t>01t6S00000BGmgkQAD</t>
  </si>
  <si>
    <t>TEMP FACLITIES</t>
  </si>
  <si>
    <t>01u6S000016ZYrzQAG</t>
  </si>
  <si>
    <t>01t6S00000BGmgaQAD</t>
  </si>
  <si>
    <t>TEMP UTILITIES</t>
  </si>
  <si>
    <t>01u6S000016ZYs0QAG</t>
  </si>
  <si>
    <t>01t6S00000BGmgZQAT</t>
  </si>
  <si>
    <t>TENANT IMPROVMENTS/COMMON AREA RENOVATIONS</t>
  </si>
  <si>
    <t>01u6S00001842r0QAA</t>
  </si>
  <si>
    <t>01t6S00000BGzOKQA1</t>
  </si>
  <si>
    <t>TENNANT RELOCATION</t>
  </si>
  <si>
    <t>01u6S000018BAIlQAO</t>
  </si>
  <si>
    <t>01t6S00000BhEQDQA3</t>
  </si>
  <si>
    <t>TERMITE PROTECTION</t>
  </si>
  <si>
    <t>01u6S000016ZYs1QAG</t>
  </si>
  <si>
    <t>01t6S00000BGmgtQAD</t>
  </si>
  <si>
    <t>TILE</t>
  </si>
  <si>
    <t>01u6S00001842r1QAA</t>
  </si>
  <si>
    <t>01t6S00000BGzODQA1</t>
  </si>
  <si>
    <t>UNIT</t>
  </si>
  <si>
    <t>01u6S00001842r2QAA</t>
  </si>
  <si>
    <t>01t6S00000BGzOLQA1</t>
  </si>
  <si>
    <t>UTILITY CONNECTIONS</t>
  </si>
  <si>
    <t>01u6S000016ZYs2QAG</t>
  </si>
  <si>
    <t>01t6S00000BGmgbQAD</t>
  </si>
  <si>
    <t>WALK THROUGH INSPECTION COSTS</t>
  </si>
  <si>
    <t>01u6S000016ZYs3QAG</t>
  </si>
  <si>
    <t>01t6S00000BGmghQAD</t>
  </si>
  <si>
    <t>WATERPROOFING</t>
  </si>
  <si>
    <t>01u6S000016ZYs4QAG</t>
  </si>
  <si>
    <t>01t6S00000BGmgrQAD</t>
  </si>
  <si>
    <t>WINDOW COVERINGS</t>
  </si>
  <si>
    <t>01u6S00001842r3QAA</t>
  </si>
  <si>
    <t>01t6S00000BGzOJQA1</t>
  </si>
  <si>
    <t>WINDOWS AND DOORS</t>
  </si>
  <si>
    <t>01u6S000016ZYs5QAG</t>
  </si>
  <si>
    <t>01t6S00000BGmh6QAD</t>
  </si>
  <si>
    <t>Price Book Entry ID</t>
  </si>
  <si>
    <t>Product ID</t>
  </si>
  <si>
    <t>Product DO NOT MAP</t>
  </si>
  <si>
    <t>Opportunity ID</t>
  </si>
  <si>
    <t>Property Address:</t>
  </si>
  <si>
    <t>1075 Century Drive, Ogden, UT 84404</t>
  </si>
  <si>
    <t>Construction Loan Amount:</t>
  </si>
  <si>
    <t xml:space="preserve">Expected Completion Date: </t>
  </si>
  <si>
    <t/>
  </si>
  <si>
    <t>Borrower Name:</t>
  </si>
  <si>
    <t>Hunter's Landing North, LLC - Aubrey Palmer (PALMER AUBREY)</t>
  </si>
  <si>
    <t>Phone:</t>
  </si>
  <si>
    <t>(801) 400-8452</t>
  </si>
  <si>
    <t>Remaining Balance Post Draw:</t>
  </si>
  <si>
    <t xml:space="preserve">Draw Reimbursement % </t>
  </si>
  <si>
    <t xml:space="preserve">Draw Point Of Contact </t>
  </si>
  <si>
    <t>-</t>
  </si>
  <si>
    <t>Lock Box</t>
  </si>
  <si>
    <t>Draw Fee Adjusted:</t>
  </si>
  <si>
    <t>General Contractor:</t>
  </si>
  <si>
    <t>License:</t>
  </si>
  <si>
    <t xml:space="preserve">Project Square Footage </t>
  </si>
  <si>
    <t>Inspectors Name:</t>
  </si>
  <si>
    <t>Draw Processing Fee:</t>
  </si>
  <si>
    <t>Item</t>
  </si>
  <si>
    <t>Description</t>
  </si>
  <si>
    <t>Budget</t>
  </si>
  <si>
    <t>Pre-Funding</t>
  </si>
  <si>
    <t>Approved</t>
  </si>
  <si>
    <t>Reallocation</t>
  </si>
  <si>
    <t>Revised Ready for Draw 1</t>
  </si>
  <si>
    <t>%</t>
  </si>
  <si>
    <t>$ PSF</t>
  </si>
  <si>
    <t>Balance</t>
  </si>
  <si>
    <t>Draw #1</t>
  </si>
  <si>
    <t>Draw #2</t>
  </si>
  <si>
    <t>Draw #3</t>
  </si>
  <si>
    <t>Draw #4</t>
  </si>
  <si>
    <t>Draw #5</t>
  </si>
  <si>
    <t>Draw #6</t>
  </si>
  <si>
    <t>Draw #7</t>
  </si>
  <si>
    <t>Draw #8</t>
  </si>
  <si>
    <t>Draw #9</t>
  </si>
  <si>
    <t>Draw #10</t>
  </si>
  <si>
    <t>Draw #11</t>
  </si>
  <si>
    <t>Draw #12</t>
  </si>
  <si>
    <t>Draw #13</t>
  </si>
  <si>
    <t>Draw #14</t>
  </si>
  <si>
    <t>Draw #15</t>
  </si>
  <si>
    <t>Draw #16</t>
  </si>
  <si>
    <t>Draw #17</t>
  </si>
  <si>
    <t>Draw #18</t>
  </si>
  <si>
    <t>Draw #19</t>
  </si>
  <si>
    <t>Draw #20</t>
  </si>
  <si>
    <t>Draw #21</t>
  </si>
  <si>
    <t>Draw #22</t>
  </si>
  <si>
    <t>Draw #23</t>
  </si>
  <si>
    <t>Retainage</t>
  </si>
  <si>
    <t>Costs-to-Date</t>
  </si>
  <si>
    <t>#</t>
  </si>
  <si>
    <t>Amount</t>
  </si>
  <si>
    <t>Costs-to-Date &amp; Contributed costs</t>
  </si>
  <si>
    <t>Current</t>
  </si>
  <si>
    <t>(+/-)</t>
  </si>
  <si>
    <t>Of</t>
  </si>
  <si>
    <t>Remaining</t>
  </si>
  <si>
    <t>Amount(s)</t>
  </si>
  <si>
    <t>Drawn</t>
  </si>
  <si>
    <t>(Non Reimbursable)</t>
  </si>
  <si>
    <t>Revised</t>
  </si>
  <si>
    <t xml:space="preserve">Survey </t>
  </si>
  <si>
    <t>Excavation of building and site, backfill, sewer &amp; water connections, elec service, asphalt</t>
  </si>
  <si>
    <t>Footings &amp; Foundations M&amp;L &amp; site M&amp;L</t>
  </si>
  <si>
    <t>ALL FENCING</t>
  </si>
  <si>
    <t xml:space="preserve">TURNKEY FRAMING, </t>
  </si>
  <si>
    <t>Roofing Labor and Materials</t>
  </si>
  <si>
    <t>DECK COATINGS</t>
  </si>
  <si>
    <t>Structural steel (Covered parking)</t>
  </si>
  <si>
    <t>ALL OTHER STEEL FEATURES</t>
  </si>
  <si>
    <t>Windows</t>
  </si>
  <si>
    <t>Store Front L&amp;M</t>
  </si>
  <si>
    <t>HM door labor</t>
  </si>
  <si>
    <t>Plumbing</t>
  </si>
  <si>
    <t>HVAC</t>
  </si>
  <si>
    <t>Electric</t>
  </si>
  <si>
    <t>SPRINKLER SYSTEM</t>
  </si>
  <si>
    <t>FIRE CAULKING</t>
  </si>
  <si>
    <t>GYPCRETE</t>
  </si>
  <si>
    <t>Insulation</t>
  </si>
  <si>
    <t>Sheetrock</t>
  </si>
  <si>
    <t>2 layers of dens glass</t>
  </si>
  <si>
    <t>FINISH MATERIALS MISC</t>
  </si>
  <si>
    <t>Finish Labor</t>
  </si>
  <si>
    <t>Interior Paint</t>
  </si>
  <si>
    <t xml:space="preserve">CABINETS  </t>
  </si>
  <si>
    <t>EQUIPMENT FOR CABINETS</t>
  </si>
  <si>
    <t>unit entry doors</t>
  </si>
  <si>
    <t>FLOOR PREP</t>
  </si>
  <si>
    <t>Hardware labor</t>
  </si>
  <si>
    <t>Hardware &amp; HM frames &amp; doors</t>
  </si>
  <si>
    <t>FIRE EXTINGUSHERS</t>
  </si>
  <si>
    <t>MIRRORS</t>
  </si>
  <si>
    <t>All flooring &amp; wall tile M&amp;L</t>
  </si>
  <si>
    <t xml:space="preserve">Brick, Stucco, Soffit &amp; fascia </t>
  </si>
  <si>
    <t>GUTTER</t>
  </si>
  <si>
    <t>PLASTER FOUNDATION</t>
  </si>
  <si>
    <t>ROOF HATCH</t>
  </si>
  <si>
    <t>PICKLEBALL</t>
  </si>
  <si>
    <t>2 VAC STATIONS</t>
  </si>
  <si>
    <t>MAILBOXES</t>
  </si>
  <si>
    <t>DOG WASH STATION</t>
  </si>
  <si>
    <t>BLINDS</t>
  </si>
  <si>
    <t>2 FIRE PITS</t>
  </si>
  <si>
    <t>CLUB HOUSE PERGULA</t>
  </si>
  <si>
    <t>KNOX BOX &amp; FIRE LIDS</t>
  </si>
  <si>
    <t>LANDSCAPE</t>
  </si>
  <si>
    <t>SIGNAGE</t>
  </si>
  <si>
    <t>EXTERIOR FFE</t>
  </si>
  <si>
    <t>EQUIPMENT</t>
  </si>
  <si>
    <t>HONEY BUCKET</t>
  </si>
  <si>
    <t>DUMPSTER</t>
  </si>
  <si>
    <t>TEMP FENCE</t>
  </si>
  <si>
    <t>CLEAN-UP LABOR</t>
  </si>
  <si>
    <t>FINAL CLEAN</t>
  </si>
  <si>
    <t>STREET SWEEPING</t>
  </si>
  <si>
    <t>CONC WASH OUT</t>
  </si>
  <si>
    <t>SWPPP weekly inspection</t>
  </si>
  <si>
    <t>TEMP POWER</t>
  </si>
  <si>
    <t>OFFICE TRAILER</t>
  </si>
  <si>
    <t>SECURITY CAMERAS</t>
  </si>
  <si>
    <t>SPECIAL INSPECTIONS</t>
  </si>
  <si>
    <t>SAFTEY</t>
  </si>
  <si>
    <t>GENERAL CONDITIONS</t>
  </si>
  <si>
    <t>Insurance</t>
  </si>
  <si>
    <t>SITE SUPERVISION, PM, SUPER</t>
  </si>
  <si>
    <t xml:space="preserve">Construction Profit </t>
  </si>
  <si>
    <t xml:space="preserve">Soft Cost </t>
  </si>
  <si>
    <t xml:space="preserve">CM Fee </t>
  </si>
  <si>
    <t>DRAW FEE</t>
  </si>
  <si>
    <t>Total</t>
  </si>
  <si>
    <t xml:space="preserve">Total Reimbursable  </t>
  </si>
  <si>
    <t>Total Equity  (Non Reimbursable)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</si>
</sst>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_(&quot;$&quot;* #,##0.00_);_(&quot;$&quot;* \(#,##0.00\);_(&quot;$&quot;* &quot;-&quot;??_);_(@_)"/>
    <numFmt numFmtId="165" formatCode="&quot;$&quot;#,##0.00_);\(&quot;$&quot;#,##0.00\)"/>
    <numFmt numFmtId="166" formatCode="&quot;$&quot;#,##0.00"/>
    <numFmt numFmtId="167" formatCode="&quot;$&quot;#,##0.00_);[Red]\(&quot;$&quot;#,##0.00\)"/>
    <numFmt numFmtId="168" formatCode="0.0%"/>
  </numFmts>
  <fonts count="15">
    <font>
      <sz val="10.0"/>
      <color rgb="FF000000"/>
      <name val="Arial"/>
      <scheme val="minor"/>
    </font>
    <font>
      <sz val="12.0"/>
      <color rgb="FFF3F3F3"/>
      <name val="Calibri"/>
    </font>
    <font>
      <sz val="12.0"/>
      <color rgb="FF000000"/>
      <name val="Calibri"/>
    </font>
    <font>
      <b/>
      <sz val="10.0"/>
      <color theme="1"/>
      <name val="Arial"/>
    </font>
    <font>
      <sz val="11.0"/>
      <color rgb="FF000000"/>
      <name val="Inconsolata"/>
    </font>
    <font>
      <sz val="10.0"/>
      <color theme="1"/>
      <name val="Arial"/>
    </font>
    <font>
      <sz val="10.0"/>
      <color rgb="FF000000"/>
      <name val="Arial"/>
    </font>
    <font>
      <sz val="11.0"/>
      <color theme="1"/>
      <name val="Arial"/>
    </font>
    <font>
      <b/>
      <sz val="18.0"/>
      <color theme="1"/>
      <name val="Arial"/>
    </font>
    <font/>
    <font>
      <b/>
      <sz val="20.0"/>
      <color theme="1"/>
      <name val="Arial"/>
    </font>
    <font>
      <b/>
      <sz val="12.0"/>
      <color theme="0"/>
      <name val="Arial"/>
    </font>
    <font>
      <b/>
      <sz val="12.0"/>
      <color rgb="FFFFFFFF"/>
      <name val="Arial"/>
    </font>
    <font>
      <sz val="11.0"/>
      <color rgb="FF0070C0"/>
      <name val="Arial"/>
    </font>
    <font>
      <b/>
      <sz val="14.0"/>
      <color theme="1"/>
      <name val="Arial"/>
    </font>
  </fonts>
  <fills count="9">
    <fill>
      <patternFill patternType="none"/>
    </fill>
    <fill>
      <patternFill patternType="lightGray"/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  <fill>
      <patternFill patternType="solid">
        <fgColor rgb="FFD8D8D8"/>
        <bgColor rgb="FFD8D8D8"/>
      </patternFill>
    </fill>
    <fill>
      <patternFill patternType="solid">
        <fgColor rgb="FFA5A5A5"/>
        <bgColor rgb="FFA5A5A5"/>
      </patternFill>
    </fill>
    <fill>
      <patternFill patternType="solid">
        <fgColor theme="0"/>
        <bgColor theme="0"/>
      </patternFill>
    </fill>
    <fill>
      <patternFill patternType="solid">
        <fgColor rgb="FF336699"/>
        <bgColor rgb="FF336699"/>
      </patternFill>
    </fill>
    <fill>
      <patternFill patternType="solid">
        <fgColor theme="1"/>
        <bgColor theme="1"/>
      </patternFill>
    </fill>
  </fills>
  <borders count="20">
    <border/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top/>
      <bottom style="thin">
        <color rgb="FF000000"/>
      </bottom>
    </border>
    <border>
      <top/>
      <bottom style="thin">
        <color rgb="FF000000"/>
      </bottom>
    </border>
    <border>
      <left/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9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0" fillId="0" fontId="2" numFmtId="0" xfId="0" applyFont="1"/>
    <xf borderId="1" fillId="3" fontId="3" numFmtId="0" xfId="0" applyBorder="1" applyFill="1" applyFont="1"/>
    <xf borderId="2" fillId="3" fontId="4" numFmtId="0" xfId="0" applyBorder="1" applyFont="1"/>
    <xf borderId="2" fillId="3" fontId="5" numFmtId="0" xfId="0" applyBorder="1" applyFont="1"/>
    <xf borderId="2" fillId="4" fontId="5" numFmtId="0" xfId="0" applyBorder="1" applyFill="1" applyFont="1"/>
    <xf borderId="2" fillId="0" fontId="6" numFmtId="0" xfId="0" applyBorder="1" applyFont="1"/>
    <xf borderId="1" fillId="5" fontId="6" numFmtId="0" xfId="0" applyAlignment="1" applyBorder="1" applyFill="1" applyFont="1">
      <alignment horizontal="center"/>
    </xf>
    <xf borderId="1" fillId="5" fontId="6" numFmtId="0" xfId="0" applyBorder="1" applyFont="1"/>
    <xf borderId="1" fillId="5" fontId="6" numFmtId="164" xfId="0" applyBorder="1" applyFont="1" applyNumberFormat="1"/>
    <xf borderId="1" fillId="5" fontId="6" numFmtId="164" xfId="0" applyAlignment="1" applyBorder="1" applyFont="1" applyNumberFormat="1">
      <alignment shrinkToFit="0" wrapText="1"/>
    </xf>
    <xf borderId="1" fillId="5" fontId="6" numFmtId="9" xfId="0" applyBorder="1" applyFont="1" applyNumberFormat="1"/>
    <xf borderId="0" fillId="0" fontId="6" numFmtId="0" xfId="0" applyFont="1"/>
    <xf borderId="1" fillId="5" fontId="7" numFmtId="164" xfId="0" applyBorder="1" applyFont="1" applyNumberFormat="1"/>
    <xf borderId="1" fillId="5" fontId="7" numFmtId="9" xfId="0" applyBorder="1" applyFont="1" applyNumberFormat="1"/>
    <xf borderId="0" fillId="0" fontId="7" numFmtId="0" xfId="0" applyFont="1"/>
    <xf borderId="1" fillId="6" fontId="6" numFmtId="0" xfId="0" applyAlignment="1" applyBorder="1" applyFill="1" applyFont="1">
      <alignment horizontal="center"/>
    </xf>
    <xf borderId="1" fillId="6" fontId="8" numFmtId="0" xfId="0" applyAlignment="1" applyBorder="1" applyFont="1">
      <alignment horizontal="right" shrinkToFit="0" wrapText="1"/>
    </xf>
    <xf borderId="3" fillId="6" fontId="8" numFmtId="0" xfId="0" applyAlignment="1" applyBorder="1" applyFont="1">
      <alignment horizontal="left"/>
    </xf>
    <xf borderId="3" fillId="6" fontId="8" numFmtId="0" xfId="0" applyAlignment="1" applyBorder="1" applyFont="1">
      <alignment horizontal="left" shrinkToFit="0" wrapText="1"/>
    </xf>
    <xf borderId="1" fillId="6" fontId="8" numFmtId="0" xfId="0" applyAlignment="1" applyBorder="1" applyFont="1">
      <alignment horizontal="left" shrinkToFit="0" wrapText="1"/>
    </xf>
    <xf borderId="1" fillId="6" fontId="8" numFmtId="164" xfId="0" applyAlignment="1" applyBorder="1" applyFont="1" applyNumberFormat="1">
      <alignment horizontal="right" shrinkToFit="0" wrapText="1"/>
    </xf>
    <xf borderId="1" fillId="6" fontId="8" numFmtId="164" xfId="0" applyAlignment="1" applyBorder="1" applyFont="1" applyNumberFormat="1">
      <alignment horizontal="right"/>
    </xf>
    <xf borderId="3" fillId="6" fontId="8" numFmtId="165" xfId="0" applyAlignment="1" applyBorder="1" applyFont="1" applyNumberFormat="1">
      <alignment horizontal="left"/>
    </xf>
    <xf borderId="3" fillId="6" fontId="6" numFmtId="164" xfId="0" applyBorder="1" applyFont="1" applyNumberFormat="1"/>
    <xf borderId="1" fillId="6" fontId="8" numFmtId="164" xfId="0" applyBorder="1" applyFont="1" applyNumberFormat="1"/>
    <xf borderId="3" fillId="6" fontId="8" numFmtId="164" xfId="0" applyBorder="1" applyFont="1" applyNumberFormat="1"/>
    <xf borderId="3" fillId="6" fontId="7" numFmtId="164" xfId="0" applyBorder="1" applyFont="1" applyNumberFormat="1"/>
    <xf borderId="4" fillId="6" fontId="8" numFmtId="14" xfId="0" applyBorder="1" applyFont="1" applyNumberFormat="1"/>
    <xf borderId="1" fillId="6" fontId="7" numFmtId="164" xfId="0" applyBorder="1" applyFont="1" applyNumberFormat="1"/>
    <xf borderId="1" fillId="6" fontId="7" numFmtId="9" xfId="0" applyBorder="1" applyFont="1" applyNumberFormat="1"/>
    <xf borderId="3" fillId="6" fontId="8" numFmtId="164" xfId="0" applyAlignment="1" applyBorder="1" applyFont="1" applyNumberFormat="1">
      <alignment horizontal="left"/>
    </xf>
    <xf borderId="3" fillId="6" fontId="8" numFmtId="164" xfId="0" applyAlignment="1" applyBorder="1" applyFont="1" applyNumberFormat="1">
      <alignment horizontal="left" shrinkToFit="0" wrapText="1"/>
    </xf>
    <xf borderId="5" fillId="6" fontId="8" numFmtId="0" xfId="0" applyAlignment="1" applyBorder="1" applyFont="1">
      <alignment horizontal="left" shrinkToFit="0" wrapText="1"/>
    </xf>
    <xf borderId="6" fillId="0" fontId="9" numFmtId="0" xfId="0" applyBorder="1" applyFont="1"/>
    <xf borderId="1" fillId="6" fontId="8" numFmtId="3" xfId="0" applyAlignment="1" applyBorder="1" applyFont="1" applyNumberFormat="1">
      <alignment horizontal="right"/>
    </xf>
    <xf borderId="4" fillId="6" fontId="8" numFmtId="166" xfId="0" applyAlignment="1" applyBorder="1" applyFont="1" applyNumberFormat="1">
      <alignment horizontal="left"/>
    </xf>
    <xf borderId="4" fillId="6" fontId="7" numFmtId="164" xfId="0" applyBorder="1" applyFont="1" applyNumberFormat="1"/>
    <xf borderId="0" fillId="0" fontId="6" numFmtId="164" xfId="0" applyFont="1" applyNumberFormat="1"/>
    <xf borderId="4" fillId="6" fontId="8" numFmtId="164" xfId="0" applyBorder="1" applyFont="1" applyNumberFormat="1"/>
    <xf borderId="4" fillId="6" fontId="8" numFmtId="10" xfId="0" applyBorder="1" applyFont="1" applyNumberFormat="1"/>
    <xf borderId="1" fillId="6" fontId="8" numFmtId="10" xfId="0" applyBorder="1" applyFont="1" applyNumberFormat="1"/>
    <xf borderId="7" fillId="6" fontId="8" numFmtId="0" xfId="0" applyAlignment="1" applyBorder="1" applyFont="1">
      <alignment horizontal="left" shrinkToFit="0" wrapText="1"/>
    </xf>
    <xf borderId="8" fillId="0" fontId="9" numFmtId="0" xfId="0" applyBorder="1" applyFont="1"/>
    <xf borderId="1" fillId="6" fontId="8" numFmtId="0" xfId="0" applyAlignment="1" applyBorder="1" applyFont="1">
      <alignment horizontal="right"/>
    </xf>
    <xf borderId="4" fillId="6" fontId="8" numFmtId="164" xfId="0" applyAlignment="1" applyBorder="1" applyFont="1" applyNumberFormat="1">
      <alignment horizontal="left"/>
    </xf>
    <xf borderId="1" fillId="6" fontId="8" numFmtId="167" xfId="0" applyBorder="1" applyFont="1" applyNumberFormat="1"/>
    <xf borderId="4" fillId="6" fontId="8" numFmtId="164" xfId="0" applyAlignment="1" applyBorder="1" applyFont="1" applyNumberFormat="1">
      <alignment horizontal="left" shrinkToFit="0" wrapText="1"/>
    </xf>
    <xf borderId="4" fillId="6" fontId="8" numFmtId="37" xfId="0" applyAlignment="1" applyBorder="1" applyFont="1" applyNumberFormat="1">
      <alignment horizontal="left" readingOrder="0"/>
    </xf>
    <xf borderId="4" fillId="6" fontId="6" numFmtId="164" xfId="0" applyBorder="1" applyFont="1" applyNumberFormat="1"/>
    <xf borderId="1" fillId="6" fontId="10" numFmtId="164" xfId="0" applyAlignment="1" applyBorder="1" applyFont="1" applyNumberFormat="1">
      <alignment horizontal="left"/>
    </xf>
    <xf borderId="1" fillId="6" fontId="8" numFmtId="39" xfId="0" applyBorder="1" applyFont="1" applyNumberFormat="1"/>
    <xf borderId="7" fillId="6" fontId="8" numFmtId="164" xfId="0" applyAlignment="1" applyBorder="1" applyFont="1" applyNumberFormat="1">
      <alignment horizontal="left" shrinkToFit="0" wrapText="1"/>
    </xf>
    <xf borderId="9" fillId="0" fontId="8" numFmtId="164" xfId="0" applyAlignment="1" applyBorder="1" applyFont="1" applyNumberFormat="1">
      <alignment horizontal="left" shrinkToFit="0" wrapText="1"/>
    </xf>
    <xf borderId="3" fillId="6" fontId="8" numFmtId="3" xfId="0" applyAlignment="1" applyBorder="1" applyFont="1" applyNumberFormat="1">
      <alignment horizontal="left" shrinkToFit="0" wrapText="1"/>
    </xf>
    <xf borderId="3" fillId="6" fontId="8" numFmtId="164" xfId="0" applyAlignment="1" applyBorder="1" applyFont="1" applyNumberFormat="1">
      <alignment horizontal="right" shrinkToFit="0" wrapText="1"/>
    </xf>
    <xf borderId="3" fillId="6" fontId="8" numFmtId="167" xfId="0" applyAlignment="1" applyBorder="1" applyFont="1" applyNumberFormat="1">
      <alignment horizontal="left"/>
    </xf>
    <xf borderId="3" fillId="6" fontId="7" numFmtId="164" xfId="0" applyAlignment="1" applyBorder="1" applyFont="1" applyNumberFormat="1">
      <alignment horizontal="left"/>
    </xf>
    <xf borderId="1" fillId="6" fontId="7" numFmtId="164" xfId="0" applyAlignment="1" applyBorder="1" applyFont="1" applyNumberFormat="1">
      <alignment horizontal="left"/>
    </xf>
    <xf borderId="1" fillId="6" fontId="6" numFmtId="0" xfId="0" applyBorder="1" applyFont="1"/>
    <xf borderId="1" fillId="6" fontId="6" numFmtId="164" xfId="0" applyBorder="1" applyFont="1" applyNumberFormat="1"/>
    <xf borderId="1" fillId="6" fontId="6" numFmtId="164" xfId="0" applyAlignment="1" applyBorder="1" applyFont="1" applyNumberFormat="1">
      <alignment shrinkToFit="0" wrapText="1"/>
    </xf>
    <xf borderId="1" fillId="6" fontId="6" numFmtId="9" xfId="0" applyBorder="1" applyFont="1" applyNumberFormat="1"/>
    <xf borderId="10" fillId="7" fontId="11" numFmtId="0" xfId="0" applyAlignment="1" applyBorder="1" applyFill="1" applyFont="1">
      <alignment horizontal="center"/>
    </xf>
    <xf borderId="10" fillId="7" fontId="11" numFmtId="164" xfId="0" applyAlignment="1" applyBorder="1" applyFont="1" applyNumberFormat="1">
      <alignment horizontal="center"/>
    </xf>
    <xf borderId="10" fillId="7" fontId="11" numFmtId="164" xfId="0" applyAlignment="1" applyBorder="1" applyFont="1" applyNumberFormat="1">
      <alignment horizontal="center" shrinkToFit="0" wrapText="1"/>
    </xf>
    <xf borderId="11" fillId="7" fontId="11" numFmtId="164" xfId="0" applyAlignment="1" applyBorder="1" applyFont="1" applyNumberFormat="1">
      <alignment horizontal="center"/>
    </xf>
    <xf borderId="10" fillId="7" fontId="12" numFmtId="164" xfId="0" applyAlignment="1" applyBorder="1" applyFont="1" applyNumberFormat="1">
      <alignment horizontal="center"/>
    </xf>
    <xf borderId="10" fillId="7" fontId="11" numFmtId="9" xfId="0" applyAlignment="1" applyBorder="1" applyFont="1" applyNumberFormat="1">
      <alignment horizontal="center"/>
    </xf>
    <xf borderId="11" fillId="7" fontId="11" numFmtId="0" xfId="0" applyAlignment="1" applyBorder="1" applyFont="1">
      <alignment horizontal="center"/>
    </xf>
    <xf borderId="11" fillId="7" fontId="11" numFmtId="0" xfId="0" applyBorder="1" applyFont="1"/>
    <xf borderId="11" fillId="7" fontId="11" numFmtId="164" xfId="0" applyAlignment="1" applyBorder="1" applyFont="1" applyNumberFormat="1">
      <alignment horizontal="center" shrinkToFit="0" wrapText="1"/>
    </xf>
    <xf borderId="11" fillId="7" fontId="11" numFmtId="9" xfId="0" applyAlignment="1" applyBorder="1" applyFont="1" applyNumberFormat="1">
      <alignment horizontal="center"/>
    </xf>
    <xf borderId="12" fillId="7" fontId="11" numFmtId="164" xfId="0" applyAlignment="1" applyBorder="1" applyFont="1" applyNumberFormat="1">
      <alignment horizontal="center" shrinkToFit="0" wrapText="1"/>
    </xf>
    <xf borderId="13" fillId="7" fontId="11" numFmtId="164" xfId="0" applyAlignment="1" applyBorder="1" applyFont="1" applyNumberFormat="1">
      <alignment horizontal="center"/>
    </xf>
    <xf borderId="2" fillId="0" fontId="5" numFmtId="0" xfId="0" applyAlignment="1" applyBorder="1" applyFont="1">
      <alignment horizontal="center"/>
    </xf>
    <xf borderId="2" fillId="0" fontId="7" numFmtId="0" xfId="0" applyBorder="1" applyFont="1"/>
    <xf borderId="2" fillId="0" fontId="7" numFmtId="166" xfId="0" applyAlignment="1" applyBorder="1" applyFont="1" applyNumberFormat="1">
      <alignment horizontal="right"/>
    </xf>
    <xf borderId="2" fillId="0" fontId="7" numFmtId="9" xfId="0" applyAlignment="1" applyBorder="1" applyFont="1" applyNumberFormat="1">
      <alignment horizontal="right"/>
    </xf>
    <xf borderId="14" fillId="0" fontId="7" numFmtId="166" xfId="0" applyAlignment="1" applyBorder="1" applyFont="1" applyNumberFormat="1">
      <alignment horizontal="right"/>
    </xf>
    <xf borderId="15" fillId="4" fontId="13" numFmtId="166" xfId="0" applyAlignment="1" applyBorder="1" applyFont="1" applyNumberFormat="1">
      <alignment horizontal="right"/>
    </xf>
    <xf borderId="16" fillId="4" fontId="13" numFmtId="165" xfId="0" applyAlignment="1" applyBorder="1" applyFont="1" applyNumberFormat="1">
      <alignment readingOrder="0"/>
    </xf>
    <xf borderId="16" fillId="4" fontId="13" numFmtId="165" xfId="0" applyBorder="1" applyFont="1" applyNumberFormat="1"/>
    <xf borderId="17" fillId="4" fontId="13" numFmtId="165" xfId="0" applyBorder="1" applyFont="1" applyNumberFormat="1"/>
    <xf borderId="2" fillId="0" fontId="7" numFmtId="166" xfId="0" applyBorder="1" applyFont="1" applyNumberFormat="1"/>
    <xf borderId="2" fillId="0" fontId="6" numFmtId="168" xfId="0" applyAlignment="1" applyBorder="1" applyFont="1" applyNumberFormat="1">
      <alignment horizontal="center"/>
    </xf>
    <xf borderId="15" fillId="4" fontId="13" numFmtId="166" xfId="0" applyAlignment="1" applyBorder="1" applyFont="1" applyNumberFormat="1">
      <alignment horizontal="right" readingOrder="0"/>
    </xf>
    <xf borderId="2" fillId="4" fontId="13" numFmtId="165" xfId="0" applyAlignment="1" applyBorder="1" applyFont="1" applyNumberFormat="1">
      <alignment readingOrder="0"/>
    </xf>
    <xf borderId="2" fillId="4" fontId="13" numFmtId="165" xfId="0" applyBorder="1" applyFont="1" applyNumberFormat="1"/>
    <xf borderId="14" fillId="4" fontId="13" numFmtId="165" xfId="0" applyBorder="1" applyFont="1" applyNumberFormat="1"/>
    <xf borderId="2" fillId="0" fontId="7" numFmtId="166" xfId="0" applyAlignment="1" applyBorder="1" applyFont="1" applyNumberFormat="1">
      <alignment readingOrder="0"/>
    </xf>
    <xf borderId="2" fillId="0" fontId="7" numFmtId="166" xfId="0" applyAlignment="1" applyBorder="1" applyFont="1" applyNumberFormat="1">
      <alignment horizontal="right" readingOrder="0"/>
    </xf>
    <xf borderId="2" fillId="4" fontId="13" numFmtId="166" xfId="0" applyAlignment="1" applyBorder="1" applyFont="1" applyNumberFormat="1">
      <alignment horizontal="right"/>
    </xf>
    <xf borderId="14" fillId="4" fontId="13" numFmtId="166" xfId="0" applyAlignment="1" applyBorder="1" applyFont="1" applyNumberFormat="1">
      <alignment horizontal="right"/>
    </xf>
    <xf borderId="1" fillId="3" fontId="4" numFmtId="0" xfId="0" applyBorder="1" applyFont="1"/>
    <xf borderId="1" fillId="3" fontId="5" numFmtId="0" xfId="0" applyBorder="1" applyFont="1"/>
    <xf borderId="18" fillId="4" fontId="13" numFmtId="166" xfId="0" applyAlignment="1" applyBorder="1" applyFont="1" applyNumberFormat="1">
      <alignment horizontal="right"/>
    </xf>
    <xf borderId="19" fillId="4" fontId="14" numFmtId="0" xfId="0" applyBorder="1" applyFont="1"/>
    <xf borderId="2" fillId="4" fontId="14" numFmtId="165" xfId="0" applyAlignment="1" applyBorder="1" applyFont="1" applyNumberFormat="1">
      <alignment horizontal="right"/>
    </xf>
    <xf borderId="2" fillId="4" fontId="14" numFmtId="165" xfId="0" applyBorder="1" applyFont="1" applyNumberFormat="1"/>
    <xf borderId="2" fillId="4" fontId="14" numFmtId="168" xfId="0" applyAlignment="1" applyBorder="1" applyFont="1" applyNumberFormat="1">
      <alignment horizontal="center"/>
    </xf>
    <xf borderId="12" fillId="4" fontId="14" numFmtId="166" xfId="0" applyBorder="1" applyFont="1" applyNumberFormat="1"/>
    <xf borderId="19" fillId="4" fontId="14" numFmtId="165" xfId="0" applyBorder="1" applyFont="1" applyNumberFormat="1"/>
    <xf borderId="2" fillId="8" fontId="14" numFmtId="165" xfId="0" applyBorder="1" applyFill="1" applyFont="1" applyNumberFormat="1"/>
    <xf borderId="2" fillId="4" fontId="14" numFmtId="9" xfId="0" applyAlignment="1" applyBorder="1" applyFont="1" applyNumberFormat="1">
      <alignment horizontal="center"/>
    </xf>
    <xf borderId="2" fillId="4" fontId="14" numFmtId="165" xfId="0" applyAlignment="1" applyBorder="1" applyFont="1" applyNumberFormat="1">
      <alignment readingOrder="0"/>
    </xf>
    <xf borderId="19" fillId="4" fontId="14" numFmtId="166" xfId="0" applyBorder="1" applyFont="1" applyNumberFormat="1"/>
    <xf borderId="19" fillId="8" fontId="14" numFmtId="166" xfId="0" applyBorder="1" applyFont="1" applyNumberFormat="1"/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FFFF00"/>
          <bgColor rgb="FFFFFF00"/>
        </patternFill>
      </fill>
      <border/>
    </dxf>
    <dxf>
      <font/>
      <fill>
        <patternFill patternType="solid">
          <fgColor rgb="FFD2F1DA"/>
          <bgColor rgb="FFD2F1DA"/>
        </patternFill>
      </fill>
      <border/>
    </dxf>
    <dxf>
      <font>
        <color rgb="FF9C0006"/>
      </font>
      <fill>
        <patternFill patternType="solid">
          <fgColor rgb="FFFFC7CE"/>
          <bgColor rgb="FFFFC7CE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0</xdr:colOff>
      <xdr:row>1</xdr:row>
      <xdr:rowOff>0</xdr:rowOff>
    </xdr:from>
    <xdr:ext cx="4276725" cy="12668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31.0"/>
    <col customWidth="1" min="2" max="2" width="24.38"/>
    <col customWidth="1" min="3" max="3" width="22.38"/>
    <col customWidth="1" min="4" max="4" width="28.88"/>
    <col customWidth="1" min="5" max="5" width="22.75"/>
    <col customWidth="1" min="6" max="6" width="33.13"/>
  </cols>
  <sheetData>
    <row r="1" ht="15.75" customHeight="1">
      <c r="A1" s="1"/>
      <c r="B1" s="1"/>
      <c r="C1" s="1"/>
    </row>
    <row r="2" ht="15.75" customHeight="1">
      <c r="A2" s="2" t="s">
        <v>0</v>
      </c>
      <c r="B2" s="2" t="s">
        <v>1</v>
      </c>
      <c r="C2" s="2" t="s">
        <v>2</v>
      </c>
      <c r="D2" s="2"/>
      <c r="E2" s="2"/>
      <c r="F2" s="2"/>
    </row>
    <row r="3" ht="15.75" customHeight="1">
      <c r="A3" s="2" t="s">
        <v>3</v>
      </c>
      <c r="B3" s="2" t="s">
        <v>4</v>
      </c>
      <c r="C3" s="2" t="s">
        <v>5</v>
      </c>
      <c r="D3" s="2"/>
      <c r="E3" s="2"/>
      <c r="F3" s="2"/>
    </row>
    <row r="4" ht="15.75" customHeight="1">
      <c r="A4" s="2" t="s">
        <v>6</v>
      </c>
      <c r="B4" s="2" t="s">
        <v>7</v>
      </c>
      <c r="C4" s="2" t="s">
        <v>8</v>
      </c>
      <c r="D4" s="2"/>
      <c r="E4" s="2"/>
      <c r="F4" s="2"/>
    </row>
    <row r="5" ht="15.75" customHeight="1">
      <c r="A5" s="2" t="s">
        <v>9</v>
      </c>
      <c r="B5" s="2" t="s">
        <v>10</v>
      </c>
      <c r="C5" s="2" t="s">
        <v>11</v>
      </c>
      <c r="D5" s="2"/>
      <c r="E5" s="2"/>
      <c r="F5" s="2"/>
    </row>
    <row r="6" ht="15.75" customHeight="1">
      <c r="A6" s="2" t="s">
        <v>12</v>
      </c>
      <c r="B6" s="2" t="s">
        <v>13</v>
      </c>
      <c r="C6" s="2" t="s">
        <v>14</v>
      </c>
      <c r="D6" s="2"/>
      <c r="E6" s="2"/>
      <c r="F6" s="2"/>
    </row>
    <row r="7" ht="15.75" customHeight="1">
      <c r="A7" s="2" t="s">
        <v>15</v>
      </c>
      <c r="B7" s="2" t="s">
        <v>16</v>
      </c>
      <c r="C7" s="2" t="s">
        <v>17</v>
      </c>
      <c r="D7" s="2"/>
      <c r="E7" s="2"/>
      <c r="F7" s="2"/>
    </row>
    <row r="8" ht="15.75" customHeight="1">
      <c r="A8" s="2" t="s">
        <v>18</v>
      </c>
      <c r="B8" s="2" t="s">
        <v>19</v>
      </c>
      <c r="C8" s="2" t="s">
        <v>20</v>
      </c>
      <c r="D8" s="2"/>
      <c r="E8" s="2"/>
      <c r="F8" s="2"/>
    </row>
    <row r="9" ht="15.75" customHeight="1">
      <c r="A9" s="2" t="s">
        <v>21</v>
      </c>
      <c r="B9" s="2" t="s">
        <v>22</v>
      </c>
      <c r="C9" s="2" t="s">
        <v>23</v>
      </c>
      <c r="D9" s="2"/>
      <c r="E9" s="2"/>
      <c r="F9" s="2"/>
    </row>
    <row r="10" ht="15.75" customHeight="1">
      <c r="A10" s="2" t="s">
        <v>24</v>
      </c>
      <c r="B10" s="2" t="s">
        <v>25</v>
      </c>
      <c r="C10" s="2" t="s">
        <v>26</v>
      </c>
      <c r="D10" s="2"/>
      <c r="E10" s="2"/>
      <c r="F10" s="2"/>
    </row>
    <row r="11" ht="15.75" customHeight="1">
      <c r="A11" s="2" t="s">
        <v>27</v>
      </c>
      <c r="B11" s="2" t="s">
        <v>28</v>
      </c>
      <c r="C11" s="2" t="s">
        <v>29</v>
      </c>
      <c r="D11" s="2"/>
      <c r="E11" s="2"/>
      <c r="F11" s="2"/>
    </row>
    <row r="12" ht="15.75" customHeight="1">
      <c r="A12" s="2" t="s">
        <v>30</v>
      </c>
      <c r="B12" s="2" t="s">
        <v>31</v>
      </c>
      <c r="C12" s="2" t="s">
        <v>32</v>
      </c>
      <c r="D12" s="2"/>
      <c r="E12" s="2"/>
      <c r="F12" s="2"/>
    </row>
    <row r="13" ht="15.75" customHeight="1">
      <c r="A13" s="2" t="s">
        <v>33</v>
      </c>
      <c r="B13" s="2" t="s">
        <v>34</v>
      </c>
      <c r="C13" s="2" t="s">
        <v>35</v>
      </c>
      <c r="D13" s="2"/>
      <c r="E13" s="2"/>
      <c r="F13" s="2"/>
    </row>
    <row r="14" ht="15.75" customHeight="1">
      <c r="A14" s="2" t="s">
        <v>36</v>
      </c>
      <c r="B14" s="2" t="s">
        <v>37</v>
      </c>
      <c r="C14" s="2" t="s">
        <v>38</v>
      </c>
      <c r="D14" s="2"/>
      <c r="E14" s="2"/>
      <c r="F14" s="2"/>
    </row>
    <row r="15" ht="15.75" customHeight="1">
      <c r="A15" s="2" t="s">
        <v>39</v>
      </c>
      <c r="B15" s="2" t="s">
        <v>40</v>
      </c>
      <c r="C15" s="2" t="s">
        <v>41</v>
      </c>
      <c r="D15" s="2"/>
      <c r="E15" s="2"/>
      <c r="F15" s="2"/>
    </row>
    <row r="16" ht="15.75" customHeight="1">
      <c r="A16" s="2" t="s">
        <v>42</v>
      </c>
      <c r="B16" s="2" t="s">
        <v>43</v>
      </c>
      <c r="C16" s="2" t="s">
        <v>44</v>
      </c>
      <c r="D16" s="2"/>
      <c r="E16" s="2"/>
      <c r="F16" s="2"/>
    </row>
    <row r="17" ht="15.75" customHeight="1">
      <c r="A17" s="2" t="s">
        <v>45</v>
      </c>
      <c r="B17" s="2" t="s">
        <v>46</v>
      </c>
      <c r="C17" s="2" t="s">
        <v>47</v>
      </c>
      <c r="D17" s="2"/>
      <c r="E17" s="2"/>
      <c r="F17" s="2"/>
    </row>
    <row r="18" ht="15.75" customHeight="1">
      <c r="A18" s="2" t="s">
        <v>48</v>
      </c>
      <c r="B18" s="2" t="s">
        <v>49</v>
      </c>
      <c r="C18" s="2" t="s">
        <v>50</v>
      </c>
      <c r="D18" s="2"/>
      <c r="E18" s="2"/>
      <c r="F18" s="2"/>
    </row>
    <row r="19" ht="15.75" customHeight="1">
      <c r="A19" s="2" t="s">
        <v>51</v>
      </c>
      <c r="B19" s="2" t="s">
        <v>52</v>
      </c>
      <c r="C19" s="2" t="s">
        <v>53</v>
      </c>
      <c r="D19" s="2"/>
      <c r="E19" s="2"/>
      <c r="F19" s="2"/>
    </row>
    <row r="20" ht="15.75" customHeight="1">
      <c r="A20" s="2" t="s">
        <v>54</v>
      </c>
      <c r="B20" s="2" t="s">
        <v>55</v>
      </c>
      <c r="C20" s="2" t="s">
        <v>56</v>
      </c>
      <c r="D20" s="2"/>
      <c r="E20" s="2"/>
      <c r="F20" s="2"/>
    </row>
    <row r="21" ht="15.75" customHeight="1">
      <c r="A21" s="2" t="s">
        <v>57</v>
      </c>
      <c r="B21" s="2" t="s">
        <v>58</v>
      </c>
      <c r="C21" s="2" t="s">
        <v>59</v>
      </c>
      <c r="D21" s="2"/>
      <c r="E21" s="2"/>
      <c r="F21" s="2"/>
    </row>
    <row r="22" ht="15.75" customHeight="1">
      <c r="A22" s="2" t="s">
        <v>60</v>
      </c>
      <c r="B22" s="2" t="s">
        <v>61</v>
      </c>
      <c r="C22" s="2" t="s">
        <v>62</v>
      </c>
      <c r="D22" s="2"/>
      <c r="E22" s="2"/>
      <c r="F22" s="2"/>
    </row>
    <row r="23" ht="15.75" customHeight="1">
      <c r="A23" s="2" t="s">
        <v>63</v>
      </c>
      <c r="B23" s="2" t="s">
        <v>64</v>
      </c>
      <c r="C23" s="2" t="s">
        <v>65</v>
      </c>
      <c r="D23" s="2"/>
      <c r="E23" s="2"/>
      <c r="F23" s="2"/>
    </row>
    <row r="24" ht="15.75" customHeight="1">
      <c r="A24" s="2" t="s">
        <v>66</v>
      </c>
      <c r="B24" s="2" t="s">
        <v>67</v>
      </c>
      <c r="C24" s="2" t="s">
        <v>68</v>
      </c>
      <c r="D24" s="2"/>
      <c r="E24" s="2"/>
      <c r="F24" s="2"/>
    </row>
    <row r="25" ht="15.75" customHeight="1">
      <c r="A25" s="2" t="s">
        <v>69</v>
      </c>
      <c r="B25" s="2" t="s">
        <v>70</v>
      </c>
      <c r="C25" s="2" t="s">
        <v>71</v>
      </c>
      <c r="D25" s="2"/>
      <c r="E25" s="2"/>
      <c r="F25" s="2"/>
    </row>
    <row r="26" ht="15.75" customHeight="1">
      <c r="A26" s="2" t="s">
        <v>72</v>
      </c>
      <c r="B26" s="2" t="s">
        <v>73</v>
      </c>
      <c r="C26" s="2" t="s">
        <v>74</v>
      </c>
      <c r="D26" s="2"/>
      <c r="E26" s="2"/>
      <c r="F26" s="2"/>
    </row>
    <row r="27" ht="15.75" customHeight="1">
      <c r="A27" s="2" t="s">
        <v>75</v>
      </c>
      <c r="B27" s="2" t="s">
        <v>76</v>
      </c>
      <c r="C27" s="2" t="s">
        <v>77</v>
      </c>
      <c r="D27" s="2"/>
      <c r="E27" s="2"/>
      <c r="F27" s="2"/>
    </row>
    <row r="28" ht="15.75" customHeight="1">
      <c r="A28" s="2" t="s">
        <v>78</v>
      </c>
      <c r="B28" s="2" t="s">
        <v>79</v>
      </c>
      <c r="C28" s="2" t="s">
        <v>80</v>
      </c>
      <c r="D28" s="2"/>
      <c r="E28" s="2"/>
      <c r="F28" s="2"/>
    </row>
    <row r="29" ht="15.75" customHeight="1">
      <c r="A29" s="2" t="s">
        <v>81</v>
      </c>
      <c r="B29" s="2" t="s">
        <v>82</v>
      </c>
      <c r="C29" s="2" t="s">
        <v>83</v>
      </c>
      <c r="D29" s="2"/>
      <c r="E29" s="2"/>
      <c r="F29" s="2"/>
    </row>
    <row r="30" ht="15.75" customHeight="1">
      <c r="A30" s="2" t="s">
        <v>84</v>
      </c>
      <c r="B30" s="2" t="s">
        <v>85</v>
      </c>
      <c r="C30" s="2" t="s">
        <v>86</v>
      </c>
      <c r="D30" s="2"/>
      <c r="E30" s="2"/>
      <c r="F30" s="2"/>
    </row>
    <row r="31" ht="15.75" customHeight="1">
      <c r="A31" s="2" t="s">
        <v>87</v>
      </c>
      <c r="B31" s="2" t="s">
        <v>88</v>
      </c>
      <c r="C31" s="2" t="s">
        <v>89</v>
      </c>
    </row>
    <row r="32" ht="15.75" customHeight="1">
      <c r="A32" s="2" t="s">
        <v>90</v>
      </c>
      <c r="B32" s="2" t="s">
        <v>91</v>
      </c>
      <c r="C32" s="2" t="s">
        <v>92</v>
      </c>
      <c r="D32" s="2"/>
      <c r="E32" s="2"/>
      <c r="F32" s="2"/>
    </row>
    <row r="33" ht="15.75" customHeight="1">
      <c r="A33" s="2" t="s">
        <v>93</v>
      </c>
      <c r="B33" s="2" t="s">
        <v>94</v>
      </c>
      <c r="C33" s="2" t="s">
        <v>95</v>
      </c>
      <c r="D33" s="2"/>
      <c r="E33" s="2"/>
      <c r="F33" s="2"/>
    </row>
    <row r="34" ht="15.75" customHeight="1">
      <c r="A34" s="2" t="s">
        <v>96</v>
      </c>
      <c r="B34" s="2" t="s">
        <v>97</v>
      </c>
      <c r="C34" s="2" t="s">
        <v>98</v>
      </c>
      <c r="D34" s="2"/>
      <c r="E34" s="2"/>
      <c r="F34" s="2"/>
    </row>
    <row r="35" ht="15.75" customHeight="1">
      <c r="A35" s="2" t="s">
        <v>99</v>
      </c>
      <c r="B35" s="2" t="s">
        <v>100</v>
      </c>
      <c r="C35" s="2" t="s">
        <v>101</v>
      </c>
      <c r="D35" s="2"/>
      <c r="E35" s="2"/>
      <c r="F35" s="2"/>
    </row>
    <row r="36" ht="15.75" customHeight="1">
      <c r="A36" s="2" t="s">
        <v>102</v>
      </c>
      <c r="B36" s="2" t="s">
        <v>103</v>
      </c>
      <c r="C36" s="2" t="s">
        <v>104</v>
      </c>
      <c r="D36" s="2"/>
      <c r="E36" s="2"/>
      <c r="F36" s="2"/>
    </row>
    <row r="37" ht="15.75" customHeight="1">
      <c r="A37" s="2" t="s">
        <v>105</v>
      </c>
      <c r="B37" s="2" t="s">
        <v>106</v>
      </c>
      <c r="C37" s="2" t="s">
        <v>107</v>
      </c>
      <c r="D37" s="2"/>
      <c r="E37" s="2"/>
      <c r="F37" s="2"/>
    </row>
    <row r="38" ht="15.75" customHeight="1">
      <c r="A38" s="2" t="s">
        <v>108</v>
      </c>
      <c r="B38" s="2" t="s">
        <v>109</v>
      </c>
      <c r="C38" s="2" t="s">
        <v>110</v>
      </c>
      <c r="D38" s="2"/>
      <c r="E38" s="2"/>
      <c r="F38" s="2"/>
    </row>
    <row r="39" ht="15.75" customHeight="1">
      <c r="A39" s="2" t="s">
        <v>111</v>
      </c>
      <c r="B39" s="2" t="s">
        <v>112</v>
      </c>
      <c r="C39" s="2" t="s">
        <v>113</v>
      </c>
      <c r="D39" s="2"/>
      <c r="E39" s="2"/>
      <c r="F39" s="2"/>
    </row>
    <row r="40" ht="15.75" customHeight="1">
      <c r="A40" s="2" t="s">
        <v>114</v>
      </c>
      <c r="B40" s="2" t="s">
        <v>115</v>
      </c>
      <c r="C40" s="2" t="s">
        <v>116</v>
      </c>
      <c r="D40" s="2"/>
      <c r="E40" s="2"/>
      <c r="F40" s="2"/>
    </row>
    <row r="41" ht="15.75" customHeight="1">
      <c r="A41" s="2" t="s">
        <v>117</v>
      </c>
      <c r="B41" s="2" t="s">
        <v>118</v>
      </c>
      <c r="C41" s="2" t="s">
        <v>119</v>
      </c>
      <c r="D41" s="2"/>
      <c r="E41" s="2"/>
      <c r="F41" s="2"/>
    </row>
    <row r="42" ht="15.75" customHeight="1">
      <c r="A42" s="2" t="s">
        <v>120</v>
      </c>
      <c r="B42" s="2" t="s">
        <v>121</v>
      </c>
      <c r="C42" s="2" t="s">
        <v>122</v>
      </c>
      <c r="D42" s="2"/>
      <c r="E42" s="2"/>
      <c r="F42" s="2"/>
    </row>
    <row r="43" ht="15.75" customHeight="1">
      <c r="A43" s="2" t="s">
        <v>123</v>
      </c>
      <c r="B43" s="2" t="s">
        <v>124</v>
      </c>
      <c r="C43" s="2" t="s">
        <v>125</v>
      </c>
      <c r="D43" s="2"/>
      <c r="E43" s="2"/>
      <c r="F43" s="2"/>
    </row>
    <row r="44" ht="15.75" customHeight="1">
      <c r="A44" s="2" t="s">
        <v>126</v>
      </c>
      <c r="B44" s="2" t="s">
        <v>127</v>
      </c>
      <c r="C44" s="2" t="s">
        <v>128</v>
      </c>
      <c r="D44" s="2"/>
      <c r="E44" s="2"/>
      <c r="F44" s="2"/>
    </row>
    <row r="45" ht="15.75" customHeight="1">
      <c r="A45" s="2" t="s">
        <v>129</v>
      </c>
      <c r="B45" s="2" t="s">
        <v>130</v>
      </c>
      <c r="C45" s="2" t="s">
        <v>131</v>
      </c>
      <c r="D45" s="2"/>
      <c r="E45" s="2"/>
      <c r="F45" s="2"/>
    </row>
    <row r="46" ht="15.75" customHeight="1">
      <c r="A46" s="2" t="s">
        <v>132</v>
      </c>
      <c r="B46" s="2" t="s">
        <v>133</v>
      </c>
      <c r="C46" s="2" t="s">
        <v>134</v>
      </c>
      <c r="D46" s="2"/>
      <c r="E46" s="2"/>
      <c r="F46" s="2"/>
    </row>
    <row r="47" ht="15.75" customHeight="1">
      <c r="A47" s="2" t="s">
        <v>135</v>
      </c>
      <c r="B47" s="2" t="s">
        <v>136</v>
      </c>
      <c r="C47" s="2" t="s">
        <v>137</v>
      </c>
      <c r="D47" s="2"/>
      <c r="E47" s="2"/>
      <c r="F47" s="2"/>
    </row>
    <row r="48" ht="15.75" customHeight="1">
      <c r="A48" s="2" t="s">
        <v>138</v>
      </c>
      <c r="B48" s="2" t="s">
        <v>139</v>
      </c>
      <c r="C48" s="2" t="s">
        <v>140</v>
      </c>
      <c r="D48" s="2"/>
      <c r="E48" s="2"/>
      <c r="F48" s="2"/>
    </row>
    <row r="49" ht="15.75" customHeight="1">
      <c r="A49" s="2" t="s">
        <v>141</v>
      </c>
      <c r="B49" s="2" t="s">
        <v>142</v>
      </c>
      <c r="C49" s="2" t="s">
        <v>143</v>
      </c>
      <c r="D49" s="2"/>
      <c r="E49" s="2"/>
      <c r="F49" s="2"/>
    </row>
    <row r="50" ht="15.75" customHeight="1">
      <c r="A50" s="2" t="s">
        <v>144</v>
      </c>
      <c r="B50" s="2" t="s">
        <v>145</v>
      </c>
      <c r="C50" s="2" t="s">
        <v>146</v>
      </c>
      <c r="D50" s="2"/>
      <c r="E50" s="2"/>
      <c r="F50" s="2"/>
    </row>
    <row r="51" ht="15.75" customHeight="1">
      <c r="A51" s="2" t="s">
        <v>147</v>
      </c>
      <c r="B51" s="2" t="s">
        <v>148</v>
      </c>
      <c r="C51" s="2" t="s">
        <v>149</v>
      </c>
      <c r="D51" s="2"/>
      <c r="E51" s="2"/>
      <c r="F51" s="2"/>
    </row>
    <row r="52" ht="15.75" customHeight="1">
      <c r="A52" s="2" t="s">
        <v>150</v>
      </c>
      <c r="B52" s="2" t="s">
        <v>151</v>
      </c>
      <c r="C52" s="2" t="s">
        <v>152</v>
      </c>
    </row>
    <row r="53" ht="15.75" customHeight="1">
      <c r="A53" s="2" t="s">
        <v>153</v>
      </c>
      <c r="B53" s="2" t="s">
        <v>154</v>
      </c>
      <c r="C53" s="2" t="s">
        <v>155</v>
      </c>
      <c r="D53" s="2"/>
      <c r="E53" s="2"/>
      <c r="F53" s="2"/>
    </row>
    <row r="54" ht="15.75" customHeight="1">
      <c r="A54" s="2" t="s">
        <v>156</v>
      </c>
      <c r="B54" s="2" t="s">
        <v>157</v>
      </c>
      <c r="C54" s="2" t="s">
        <v>158</v>
      </c>
    </row>
    <row r="55" ht="15.75" customHeight="1">
      <c r="A55" s="2" t="s">
        <v>159</v>
      </c>
      <c r="B55" s="2" t="s">
        <v>160</v>
      </c>
      <c r="C55" s="2" t="s">
        <v>161</v>
      </c>
      <c r="D55" s="2"/>
      <c r="E55" s="2"/>
      <c r="F55" s="2"/>
    </row>
    <row r="56" ht="15.75" customHeight="1">
      <c r="A56" s="2" t="s">
        <v>162</v>
      </c>
      <c r="B56" s="2" t="s">
        <v>163</v>
      </c>
      <c r="C56" s="2" t="s">
        <v>164</v>
      </c>
      <c r="D56" s="2"/>
      <c r="E56" s="2"/>
      <c r="F56" s="2"/>
    </row>
    <row r="57" ht="15.75" customHeight="1">
      <c r="A57" s="2" t="s">
        <v>165</v>
      </c>
      <c r="B57" s="2" t="s">
        <v>166</v>
      </c>
      <c r="C57" s="2" t="s">
        <v>167</v>
      </c>
      <c r="D57" s="2"/>
      <c r="E57" s="2"/>
      <c r="F57" s="2"/>
    </row>
    <row r="58" ht="15.75" customHeight="1">
      <c r="A58" s="2" t="s">
        <v>168</v>
      </c>
      <c r="B58" s="2" t="s">
        <v>169</v>
      </c>
      <c r="C58" s="2" t="s">
        <v>170</v>
      </c>
      <c r="D58" s="2"/>
      <c r="E58" s="2"/>
      <c r="F58" s="2"/>
    </row>
    <row r="59" ht="15.75" customHeight="1">
      <c r="A59" s="2" t="s">
        <v>171</v>
      </c>
      <c r="B59" s="2" t="s">
        <v>172</v>
      </c>
      <c r="C59" s="2" t="s">
        <v>173</v>
      </c>
      <c r="D59" s="2"/>
      <c r="E59" s="2"/>
      <c r="F59" s="2"/>
    </row>
    <row r="60" ht="15.75" customHeight="1">
      <c r="A60" s="2" t="s">
        <v>174</v>
      </c>
      <c r="B60" s="2" t="s">
        <v>175</v>
      </c>
      <c r="C60" s="2" t="s">
        <v>176</v>
      </c>
      <c r="D60" s="2"/>
      <c r="E60" s="2"/>
      <c r="F60" s="2"/>
    </row>
    <row r="61" ht="15.75" customHeight="1">
      <c r="A61" s="2" t="s">
        <v>177</v>
      </c>
      <c r="B61" s="2" t="s">
        <v>178</v>
      </c>
      <c r="C61" s="2" t="s">
        <v>179</v>
      </c>
      <c r="D61" s="2"/>
      <c r="E61" s="2"/>
      <c r="F61" s="2"/>
    </row>
    <row r="62" ht="15.75" customHeight="1">
      <c r="A62" s="2" t="s">
        <v>180</v>
      </c>
      <c r="B62" s="2" t="s">
        <v>181</v>
      </c>
      <c r="C62" s="2" t="s">
        <v>182</v>
      </c>
      <c r="D62" s="2"/>
      <c r="E62" s="2"/>
      <c r="F62" s="2"/>
    </row>
    <row r="63" ht="15.75" customHeight="1">
      <c r="A63" s="2" t="s">
        <v>183</v>
      </c>
      <c r="B63" s="2" t="s">
        <v>184</v>
      </c>
      <c r="C63" s="2" t="s">
        <v>185</v>
      </c>
      <c r="D63" s="2"/>
      <c r="E63" s="2"/>
      <c r="F63" s="2"/>
    </row>
    <row r="64" ht="15.75" customHeight="1">
      <c r="A64" s="2" t="s">
        <v>186</v>
      </c>
      <c r="B64" s="2" t="s">
        <v>187</v>
      </c>
      <c r="C64" s="2" t="s">
        <v>188</v>
      </c>
      <c r="D64" s="2"/>
      <c r="E64" s="2"/>
      <c r="F64" s="2"/>
    </row>
    <row r="65" ht="15.75" customHeight="1">
      <c r="A65" s="2" t="s">
        <v>189</v>
      </c>
      <c r="B65" s="2" t="s">
        <v>190</v>
      </c>
      <c r="C65" s="2" t="s">
        <v>191</v>
      </c>
    </row>
    <row r="66" ht="15.75" customHeight="1">
      <c r="A66" s="2" t="s">
        <v>192</v>
      </c>
      <c r="B66" s="2" t="s">
        <v>193</v>
      </c>
      <c r="C66" s="2" t="s">
        <v>194</v>
      </c>
      <c r="D66" s="2"/>
      <c r="E66" s="2"/>
      <c r="F66" s="2"/>
    </row>
    <row r="67" ht="15.75" customHeight="1">
      <c r="A67" s="2" t="s">
        <v>195</v>
      </c>
      <c r="B67" s="2" t="s">
        <v>196</v>
      </c>
      <c r="C67" s="2" t="s">
        <v>197</v>
      </c>
      <c r="D67" s="2"/>
      <c r="E67" s="2"/>
      <c r="F67" s="2"/>
    </row>
    <row r="68" ht="15.75" customHeight="1">
      <c r="A68" s="2" t="s">
        <v>198</v>
      </c>
      <c r="B68" s="2" t="s">
        <v>199</v>
      </c>
      <c r="C68" s="2" t="s">
        <v>200</v>
      </c>
      <c r="D68" s="2"/>
      <c r="E68" s="2"/>
      <c r="F68" s="2"/>
    </row>
    <row r="69" ht="15.75" customHeight="1">
      <c r="A69" s="2" t="s">
        <v>201</v>
      </c>
      <c r="B69" s="2" t="s">
        <v>202</v>
      </c>
      <c r="C69" s="2" t="s">
        <v>203</v>
      </c>
      <c r="D69" s="2"/>
      <c r="E69" s="2"/>
      <c r="F69" s="2"/>
    </row>
    <row r="70" ht="15.75" customHeight="1">
      <c r="A70" s="2" t="s">
        <v>204</v>
      </c>
      <c r="B70" s="2" t="s">
        <v>205</v>
      </c>
      <c r="C70" s="2" t="s">
        <v>206</v>
      </c>
    </row>
    <row r="71" ht="15.75" customHeight="1">
      <c r="A71" s="2" t="s">
        <v>207</v>
      </c>
      <c r="B71" s="2" t="s">
        <v>208</v>
      </c>
      <c r="C71" s="2" t="s">
        <v>209</v>
      </c>
      <c r="D71" s="2"/>
      <c r="E71" s="2"/>
      <c r="F71" s="2"/>
    </row>
    <row r="72" ht="15.75" customHeight="1">
      <c r="A72" s="2" t="s">
        <v>210</v>
      </c>
      <c r="B72" s="2" t="s">
        <v>211</v>
      </c>
      <c r="C72" s="2" t="s">
        <v>212</v>
      </c>
      <c r="D72" s="2"/>
      <c r="E72" s="2"/>
      <c r="F72" s="2"/>
    </row>
    <row r="73" ht="15.75" customHeight="1">
      <c r="A73" s="2" t="s">
        <v>213</v>
      </c>
      <c r="B73" s="2" t="s">
        <v>214</v>
      </c>
      <c r="C73" s="2" t="s">
        <v>215</v>
      </c>
      <c r="D73" s="2"/>
      <c r="E73" s="2"/>
      <c r="F73" s="2"/>
    </row>
    <row r="74" ht="15.75" customHeight="1">
      <c r="A74" s="2" t="s">
        <v>216</v>
      </c>
      <c r="B74" s="2" t="s">
        <v>217</v>
      </c>
      <c r="C74" s="2" t="s">
        <v>218</v>
      </c>
      <c r="D74" s="2"/>
      <c r="E74" s="2"/>
      <c r="F74" s="2"/>
    </row>
    <row r="75" ht="15.75" customHeight="1">
      <c r="A75" s="2" t="s">
        <v>219</v>
      </c>
      <c r="B75" s="2" t="s">
        <v>220</v>
      </c>
      <c r="C75" s="2" t="s">
        <v>221</v>
      </c>
      <c r="D75" s="2"/>
      <c r="E75" s="2"/>
      <c r="F75" s="2"/>
    </row>
    <row r="76" ht="15.75" customHeight="1">
      <c r="A76" s="2" t="s">
        <v>222</v>
      </c>
      <c r="B76" s="2" t="s">
        <v>223</v>
      </c>
      <c r="C76" s="2" t="s">
        <v>224</v>
      </c>
      <c r="D76" s="2"/>
      <c r="E76" s="2"/>
      <c r="F76" s="2"/>
    </row>
    <row r="77" ht="15.75" customHeight="1">
      <c r="A77" s="2" t="s">
        <v>225</v>
      </c>
      <c r="B77" s="2" t="s">
        <v>226</v>
      </c>
      <c r="C77" s="2" t="s">
        <v>227</v>
      </c>
      <c r="D77" s="2"/>
      <c r="E77" s="2"/>
      <c r="F77" s="2"/>
    </row>
    <row r="78" ht="15.75" customHeight="1">
      <c r="A78" s="2" t="s">
        <v>228</v>
      </c>
      <c r="B78" s="2" t="s">
        <v>229</v>
      </c>
      <c r="C78" s="2" t="s">
        <v>230</v>
      </c>
    </row>
    <row r="79" ht="15.75" customHeight="1">
      <c r="A79" s="2" t="s">
        <v>231</v>
      </c>
      <c r="B79" s="2" t="s">
        <v>232</v>
      </c>
      <c r="C79" s="2" t="s">
        <v>233</v>
      </c>
      <c r="D79" s="2"/>
      <c r="E79" s="2"/>
      <c r="F79" s="2"/>
    </row>
    <row r="80" ht="15.75" customHeight="1">
      <c r="A80" s="2" t="s">
        <v>234</v>
      </c>
      <c r="B80" s="2" t="s">
        <v>235</v>
      </c>
      <c r="C80" s="2" t="s">
        <v>236</v>
      </c>
      <c r="D80" s="2"/>
      <c r="E80" s="2"/>
      <c r="F80" s="2"/>
    </row>
    <row r="81" ht="15.75" customHeight="1">
      <c r="A81" s="2" t="s">
        <v>237</v>
      </c>
      <c r="B81" s="2" t="s">
        <v>238</v>
      </c>
      <c r="C81" s="2" t="s">
        <v>239</v>
      </c>
      <c r="D81" s="2"/>
      <c r="E81" s="2"/>
      <c r="F81" s="2"/>
    </row>
    <row r="82" ht="15.75" customHeight="1">
      <c r="A82" s="2" t="s">
        <v>240</v>
      </c>
      <c r="B82" s="2" t="s">
        <v>241</v>
      </c>
      <c r="C82" s="2" t="s">
        <v>242</v>
      </c>
      <c r="D82" s="2"/>
      <c r="E82" s="2"/>
      <c r="F82" s="2"/>
    </row>
    <row r="83" ht="15.75" customHeight="1">
      <c r="A83" s="2" t="s">
        <v>243</v>
      </c>
      <c r="B83" s="2" t="s">
        <v>244</v>
      </c>
      <c r="C83" s="2" t="s">
        <v>245</v>
      </c>
      <c r="D83" s="2"/>
      <c r="E83" s="2"/>
      <c r="F83" s="2"/>
    </row>
    <row r="84" ht="15.75" customHeight="1">
      <c r="A84" s="2" t="s">
        <v>246</v>
      </c>
      <c r="B84" s="2" t="s">
        <v>247</v>
      </c>
      <c r="C84" s="2" t="s">
        <v>248</v>
      </c>
      <c r="D84" s="2"/>
      <c r="E84" s="2"/>
      <c r="F84" s="2"/>
    </row>
    <row r="85" ht="15.75" customHeight="1">
      <c r="A85" s="2" t="s">
        <v>249</v>
      </c>
      <c r="B85" s="2" t="s">
        <v>250</v>
      </c>
      <c r="C85" s="2" t="s">
        <v>251</v>
      </c>
      <c r="D85" s="2"/>
      <c r="E85" s="2"/>
      <c r="F85" s="2"/>
    </row>
    <row r="86" ht="15.75" customHeight="1">
      <c r="A86" s="2" t="s">
        <v>252</v>
      </c>
      <c r="B86" s="2" t="s">
        <v>253</v>
      </c>
      <c r="C86" s="2" t="s">
        <v>254</v>
      </c>
      <c r="D86" s="2"/>
      <c r="E86" s="2"/>
      <c r="F86" s="2"/>
    </row>
    <row r="87" ht="15.75" customHeight="1">
      <c r="A87" s="2" t="s">
        <v>255</v>
      </c>
      <c r="B87" s="2" t="s">
        <v>256</v>
      </c>
      <c r="C87" s="2" t="s">
        <v>257</v>
      </c>
      <c r="D87" s="2"/>
      <c r="E87" s="2"/>
      <c r="F87" s="2"/>
    </row>
    <row r="88" ht="15.75" customHeight="1">
      <c r="A88" s="2" t="s">
        <v>258</v>
      </c>
      <c r="B88" s="2" t="s">
        <v>259</v>
      </c>
      <c r="C88" s="2" t="s">
        <v>260</v>
      </c>
      <c r="D88" s="2"/>
      <c r="E88" s="2"/>
      <c r="F88" s="2"/>
    </row>
    <row r="89" ht="15.75" customHeight="1">
      <c r="A89" s="2" t="s">
        <v>261</v>
      </c>
      <c r="B89" s="2" t="s">
        <v>262</v>
      </c>
      <c r="C89" s="2" t="s">
        <v>263</v>
      </c>
      <c r="D89" s="2"/>
      <c r="E89" s="2"/>
      <c r="F89" s="2"/>
    </row>
    <row r="90" ht="15.75" customHeight="1">
      <c r="A90" s="2" t="s">
        <v>264</v>
      </c>
      <c r="B90" s="2" t="s">
        <v>265</v>
      </c>
      <c r="C90" s="2" t="s">
        <v>266</v>
      </c>
      <c r="D90" s="2"/>
      <c r="E90" s="2"/>
      <c r="F90" s="2"/>
    </row>
    <row r="91" ht="15.75" customHeight="1">
      <c r="A91" s="2" t="s">
        <v>267</v>
      </c>
      <c r="B91" s="2" t="s">
        <v>268</v>
      </c>
      <c r="C91" s="2" t="s">
        <v>269</v>
      </c>
      <c r="D91" s="2"/>
      <c r="E91" s="2"/>
      <c r="F91" s="2"/>
    </row>
    <row r="92" ht="15.75" customHeight="1">
      <c r="A92" s="2" t="s">
        <v>270</v>
      </c>
      <c r="B92" s="2" t="s">
        <v>271</v>
      </c>
      <c r="C92" s="2" t="s">
        <v>272</v>
      </c>
      <c r="D92" s="2"/>
      <c r="E92" s="2"/>
      <c r="F92" s="2"/>
    </row>
    <row r="93" ht="15.75" customHeight="1">
      <c r="A93" s="2" t="s">
        <v>273</v>
      </c>
      <c r="B93" s="2" t="s">
        <v>274</v>
      </c>
      <c r="C93" s="2" t="s">
        <v>275</v>
      </c>
      <c r="D93" s="2"/>
      <c r="E93" s="2"/>
      <c r="F93" s="2"/>
    </row>
    <row r="94" ht="15.75" customHeight="1">
      <c r="A94" s="2" t="s">
        <v>276</v>
      </c>
      <c r="B94" s="2" t="s">
        <v>277</v>
      </c>
      <c r="C94" s="2" t="s">
        <v>278</v>
      </c>
      <c r="D94" s="2"/>
      <c r="E94" s="2"/>
      <c r="F94" s="2"/>
    </row>
    <row r="95" ht="15.75" customHeight="1">
      <c r="A95" s="2" t="s">
        <v>279</v>
      </c>
      <c r="B95" s="2" t="s">
        <v>280</v>
      </c>
      <c r="C95" s="2" t="s">
        <v>281</v>
      </c>
      <c r="D95" s="2"/>
      <c r="E95" s="2"/>
      <c r="F95" s="2"/>
    </row>
    <row r="96" ht="15.75" customHeight="1">
      <c r="A96" s="2" t="s">
        <v>282</v>
      </c>
      <c r="B96" s="2" t="s">
        <v>283</v>
      </c>
      <c r="C96" s="2" t="s">
        <v>284</v>
      </c>
      <c r="D96" s="2"/>
      <c r="E96" s="2"/>
      <c r="F96" s="2"/>
    </row>
    <row r="97" ht="15.75" customHeight="1">
      <c r="A97" s="2" t="s">
        <v>285</v>
      </c>
      <c r="B97" s="2" t="s">
        <v>286</v>
      </c>
      <c r="C97" s="2" t="s">
        <v>287</v>
      </c>
      <c r="D97" s="2"/>
      <c r="E97" s="2"/>
      <c r="F97" s="2"/>
    </row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V$999"/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hidden="1" min="1" max="4" width="35.88"/>
    <col customWidth="1" min="5" max="5" width="10.0"/>
    <col customWidth="1" min="6" max="6" width="43.25"/>
    <col customWidth="1" min="7" max="7" width="27.88"/>
    <col customWidth="1" min="8" max="8" width="26.88"/>
    <col customWidth="1" min="9" max="9" width="26.63"/>
    <col customWidth="1" min="10" max="10" width="25.88"/>
    <col customWidth="1" min="11" max="11" width="36.63"/>
    <col customWidth="1" min="12" max="12" width="15.38"/>
    <col customWidth="1" min="13" max="13" width="16.0"/>
    <col customWidth="1" min="14" max="14" width="31.25"/>
    <col customWidth="1" min="15" max="26" width="35.88"/>
    <col customWidth="1" hidden="1" min="27" max="37" width="35.88"/>
    <col customWidth="1" min="38" max="41" width="35.88"/>
  </cols>
  <sheetData>
    <row r="1" ht="15.75" customHeight="1">
      <c r="A1" s="3" t="s">
        <v>288</v>
      </c>
      <c r="B1" s="3" t="s">
        <v>289</v>
      </c>
      <c r="C1" s="3" t="s">
        <v>290</v>
      </c>
      <c r="D1" s="3" t="s">
        <v>291</v>
      </c>
    </row>
    <row r="2" ht="54.75" customHeight="1">
      <c r="A2" s="4" t="str">
        <f>IFERROR(VLOOKUP(C2,'Product List'!$A$2:$C198,2,FALSE),"")</f>
        <v/>
      </c>
      <c r="B2" s="5" t="str">
        <f>IFERROR(VLOOKUP(C2,'Product List'!$A$2:$C198,3,FALSE),"")</f>
        <v/>
      </c>
      <c r="C2" s="6"/>
      <c r="D2" s="7"/>
      <c r="E2" s="8"/>
      <c r="F2" s="9"/>
      <c r="G2" s="10"/>
      <c r="H2" s="10"/>
      <c r="I2" s="10"/>
      <c r="J2" s="10"/>
      <c r="K2" s="10"/>
      <c r="L2" s="10"/>
      <c r="M2" s="10"/>
      <c r="N2" s="10"/>
      <c r="O2" s="10"/>
      <c r="P2" s="10"/>
      <c r="Q2" s="11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10"/>
      <c r="AL2" s="10"/>
      <c r="AM2" s="10"/>
      <c r="AN2" s="12"/>
      <c r="AO2" s="13"/>
    </row>
    <row r="3" ht="25.5" customHeight="1">
      <c r="A3" s="4" t="str">
        <f>IFERROR(VLOOKUP(C3,'Product List'!$A$2:$C198,2,FALSE),"")</f>
        <v/>
      </c>
      <c r="B3" s="5" t="str">
        <f>IFERROR(VLOOKUP(C3,'Product List'!$A$2:$C198,3,FALSE),"")</f>
        <v/>
      </c>
      <c r="C3" s="6"/>
      <c r="D3" s="7"/>
      <c r="E3" s="8"/>
      <c r="F3" s="9"/>
      <c r="G3" s="10"/>
      <c r="H3" s="10"/>
      <c r="I3" s="10"/>
      <c r="J3" s="10"/>
      <c r="K3" s="10"/>
      <c r="L3" s="10"/>
      <c r="M3" s="10"/>
      <c r="N3" s="10"/>
      <c r="O3" s="9"/>
      <c r="P3" s="10"/>
      <c r="Q3" s="11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2"/>
      <c r="AO3" s="13"/>
    </row>
    <row r="4" ht="11.25" customHeight="1">
      <c r="A4" s="4" t="str">
        <f>IFERROR(VLOOKUP(C4,'Product List'!$A$2:$C198,2,FALSE),"")</f>
        <v/>
      </c>
      <c r="B4" s="5" t="str">
        <f>IFERROR(VLOOKUP(C4,'Product List'!$A$2:$C198,3,FALSE),"")</f>
        <v/>
      </c>
      <c r="C4" s="6"/>
      <c r="D4" s="7"/>
      <c r="E4" s="8"/>
      <c r="F4" s="9"/>
      <c r="G4" s="10"/>
      <c r="H4" s="10"/>
      <c r="I4" s="10"/>
      <c r="J4" s="10"/>
      <c r="K4" s="10"/>
      <c r="L4" s="10"/>
      <c r="M4" s="10"/>
      <c r="N4" s="10"/>
      <c r="O4" s="10"/>
      <c r="P4" s="10"/>
      <c r="Q4" s="11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2"/>
      <c r="AO4" s="13"/>
    </row>
    <row r="5" ht="6.0" customHeight="1">
      <c r="A5" s="4" t="str">
        <f>IFERROR(VLOOKUP(C5,'Product List'!$A$2:$C198,2,FALSE),"")</f>
        <v/>
      </c>
      <c r="B5" s="5" t="str">
        <f>IFERROR(VLOOKUP(C5,'Product List'!$A$2:$C198,3,FALSE),"")</f>
        <v/>
      </c>
      <c r="C5" s="6"/>
      <c r="D5" s="7"/>
      <c r="E5" s="8"/>
      <c r="F5" s="9"/>
      <c r="G5" s="10"/>
      <c r="H5" s="10"/>
      <c r="I5" s="10"/>
      <c r="J5" s="10"/>
      <c r="K5" s="10"/>
      <c r="L5" s="10"/>
      <c r="M5" s="10"/>
      <c r="N5" s="10"/>
      <c r="O5" s="10"/>
      <c r="P5" s="10"/>
      <c r="Q5" s="11"/>
      <c r="R5" s="10"/>
      <c r="S5" s="10"/>
      <c r="T5" s="10"/>
      <c r="U5" s="10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14"/>
      <c r="AK5" s="14"/>
      <c r="AL5" s="14"/>
      <c r="AM5" s="14"/>
      <c r="AN5" s="15"/>
      <c r="AO5" s="16"/>
    </row>
    <row r="6" ht="54.75" customHeight="1">
      <c r="A6" s="4" t="str">
        <f>IFERROR(VLOOKUP(C6,'Product List'!$A$2:$C198,2,FALSE),"")</f>
        <v/>
      </c>
      <c r="B6" s="5" t="str">
        <f>IFERROR(VLOOKUP(C6,'Product List'!$A$2:$C198,3,FALSE),"")</f>
        <v/>
      </c>
      <c r="C6" s="6"/>
      <c r="D6" s="7"/>
      <c r="E6" s="17"/>
      <c r="F6" s="18" t="s">
        <v>292</v>
      </c>
      <c r="G6" s="19" t="s">
        <v>293</v>
      </c>
      <c r="H6" s="20"/>
      <c r="I6" s="20"/>
      <c r="J6" s="20"/>
      <c r="K6" s="20"/>
      <c r="L6" s="20"/>
      <c r="M6" s="20"/>
      <c r="N6" s="20"/>
      <c r="O6" s="21"/>
      <c r="P6" s="21"/>
      <c r="Q6" s="22"/>
      <c r="R6" s="22"/>
      <c r="S6" s="23" t="s">
        <v>294</v>
      </c>
      <c r="T6" s="24">
        <f>G190</f>
        <v>16921419.26</v>
      </c>
      <c r="U6" s="25"/>
      <c r="V6" s="26"/>
      <c r="W6" s="27" t="s">
        <v>295</v>
      </c>
      <c r="X6" s="28"/>
      <c r="Y6" s="29" t="s">
        <v>296</v>
      </c>
      <c r="Z6" s="28"/>
      <c r="AA6" s="30"/>
      <c r="AB6" s="30"/>
      <c r="AC6" s="30"/>
      <c r="AD6" s="30"/>
      <c r="AE6" s="30"/>
      <c r="AF6" s="30"/>
      <c r="AG6" s="30"/>
      <c r="AH6" s="30"/>
      <c r="AI6" s="30"/>
      <c r="AJ6" s="30"/>
      <c r="AK6" s="30"/>
      <c r="AL6" s="30"/>
      <c r="AM6" s="30"/>
      <c r="AN6" s="31"/>
      <c r="AO6" s="16"/>
    </row>
    <row r="7" ht="54.75" customHeight="1">
      <c r="A7" s="4" t="str">
        <f>IFERROR(VLOOKUP(C7,'Product List'!$A$2:$C198,2,FALSE),"")</f>
        <v/>
      </c>
      <c r="B7" s="5" t="str">
        <f>IFERROR(VLOOKUP(C7,'Product List'!$A$2:$C198,3,FALSE),"")</f>
        <v/>
      </c>
      <c r="C7" s="6"/>
      <c r="D7" s="7"/>
      <c r="E7" s="17"/>
      <c r="F7" s="18" t="s">
        <v>297</v>
      </c>
      <c r="G7" s="32" t="s">
        <v>298</v>
      </c>
      <c r="H7" s="33"/>
      <c r="I7" s="33"/>
      <c r="J7" s="33"/>
      <c r="K7" s="33"/>
      <c r="L7" s="33"/>
      <c r="M7" s="33"/>
      <c r="N7" s="33"/>
      <c r="O7" s="22" t="s">
        <v>299</v>
      </c>
      <c r="P7" s="34" t="s">
        <v>300</v>
      </c>
      <c r="Q7" s="35"/>
      <c r="R7" s="22"/>
      <c r="S7" s="36" t="s">
        <v>301</v>
      </c>
      <c r="T7" s="37">
        <f>N190</f>
        <v>8685535.908</v>
      </c>
      <c r="U7" s="38"/>
      <c r="V7" s="39"/>
      <c r="W7" s="40" t="s">
        <v>302</v>
      </c>
      <c r="X7" s="38"/>
      <c r="Y7" s="41">
        <v>1.0</v>
      </c>
      <c r="Z7" s="41"/>
      <c r="AA7" s="42"/>
      <c r="AB7" s="42"/>
      <c r="AC7" s="42"/>
      <c r="AD7" s="42"/>
      <c r="AE7" s="42"/>
      <c r="AF7" s="42"/>
      <c r="AG7" s="42"/>
      <c r="AH7" s="42"/>
      <c r="AI7" s="42"/>
      <c r="AJ7" s="42"/>
      <c r="AK7" s="42"/>
      <c r="AL7" s="30"/>
      <c r="AM7" s="30"/>
      <c r="AN7" s="31"/>
      <c r="AO7" s="16"/>
    </row>
    <row r="8" ht="54.75" customHeight="1">
      <c r="A8" s="4" t="str">
        <f>IFERROR(VLOOKUP(C8,'Product List'!$A$2:$C198,2,FALSE),"")</f>
        <v/>
      </c>
      <c r="B8" s="5" t="str">
        <f>IFERROR(VLOOKUP(C8,'Product List'!$A$2:$C198,3,FALSE),"")</f>
        <v/>
      </c>
      <c r="C8" s="6"/>
      <c r="D8" s="7"/>
      <c r="E8" s="17"/>
      <c r="F8" s="18" t="s">
        <v>303</v>
      </c>
      <c r="G8" s="32" t="s">
        <v>304</v>
      </c>
      <c r="H8" s="33"/>
      <c r="I8" s="33"/>
      <c r="J8" s="33"/>
      <c r="K8" s="33"/>
      <c r="L8" s="33"/>
      <c r="M8" s="33"/>
      <c r="N8" s="33"/>
      <c r="O8" s="22" t="s">
        <v>299</v>
      </c>
      <c r="P8" s="43" t="s">
        <v>296</v>
      </c>
      <c r="Q8" s="44"/>
      <c r="R8" s="22"/>
      <c r="S8" s="45" t="s">
        <v>305</v>
      </c>
      <c r="T8" s="46"/>
      <c r="U8" s="38"/>
      <c r="V8" s="30"/>
      <c r="W8" s="26" t="s">
        <v>306</v>
      </c>
      <c r="X8" s="30"/>
      <c r="Y8" s="47">
        <f>SUM(T10/Y7)</f>
        <v>500</v>
      </c>
      <c r="Z8" s="30"/>
      <c r="AA8" s="30"/>
      <c r="AB8" s="30"/>
      <c r="AC8" s="30"/>
      <c r="AD8" s="30"/>
      <c r="AE8" s="30"/>
      <c r="AF8" s="30"/>
      <c r="AG8" s="30"/>
      <c r="AH8" s="30"/>
      <c r="AI8" s="30"/>
      <c r="AJ8" s="30"/>
      <c r="AK8" s="30"/>
      <c r="AL8" s="30"/>
      <c r="AM8" s="30"/>
      <c r="AN8" s="31"/>
      <c r="AO8" s="16"/>
    </row>
    <row r="9" ht="54.75" customHeight="1">
      <c r="A9" s="4" t="str">
        <f>IFERROR(VLOOKUP(C9,'Product List'!$A$2:$C198,2,FALSE),"")</f>
        <v/>
      </c>
      <c r="B9" s="5" t="str">
        <f>IFERROR(VLOOKUP(C9,'Product List'!$A$2:$C198,3,FALSE),"")</f>
        <v/>
      </c>
      <c r="C9" s="6"/>
      <c r="D9" s="7"/>
      <c r="E9" s="17"/>
      <c r="F9" s="18" t="s">
        <v>307</v>
      </c>
      <c r="G9" s="46" t="s">
        <v>296</v>
      </c>
      <c r="H9" s="48"/>
      <c r="I9" s="48"/>
      <c r="J9" s="48"/>
      <c r="K9" s="48"/>
      <c r="L9" s="48"/>
      <c r="M9" s="48"/>
      <c r="N9" s="48"/>
      <c r="O9" s="22" t="s">
        <v>308</v>
      </c>
      <c r="P9" s="43" t="s">
        <v>296</v>
      </c>
      <c r="Q9" s="44"/>
      <c r="R9" s="22"/>
      <c r="S9" s="23" t="s">
        <v>309</v>
      </c>
      <c r="T9" s="49">
        <v>82227.0</v>
      </c>
      <c r="U9" s="50"/>
      <c r="V9" s="51"/>
      <c r="W9" s="26"/>
      <c r="X9" s="30"/>
      <c r="Y9" s="52"/>
      <c r="Z9" s="30"/>
      <c r="AA9" s="30"/>
      <c r="AB9" s="30"/>
      <c r="AC9" s="30"/>
      <c r="AD9" s="30"/>
      <c r="AE9" s="30"/>
      <c r="AF9" s="30"/>
      <c r="AG9" s="30"/>
      <c r="AH9" s="30"/>
      <c r="AI9" s="30"/>
      <c r="AJ9" s="30"/>
      <c r="AK9" s="30"/>
      <c r="AL9" s="30"/>
      <c r="AM9" s="30"/>
      <c r="AN9" s="31"/>
      <c r="AO9" s="16"/>
    </row>
    <row r="10" ht="54.75" customHeight="1">
      <c r="A10" s="4" t="str">
        <f>IFERROR(VLOOKUP(C10,'Product List'!$A$2:$C198,2,FALSE),"")</f>
        <v/>
      </c>
      <c r="B10" s="5" t="str">
        <f>IFERROR(VLOOKUP(C10,'Product List'!$A$2:$C198,3,FALSE),"")</f>
        <v/>
      </c>
      <c r="C10" s="6"/>
      <c r="D10" s="7"/>
      <c r="E10" s="17"/>
      <c r="F10" s="18" t="s">
        <v>310</v>
      </c>
      <c r="G10" s="53"/>
      <c r="H10" s="44"/>
      <c r="I10" s="44"/>
      <c r="J10" s="44"/>
      <c r="K10" s="44"/>
      <c r="L10" s="33"/>
      <c r="M10" s="33"/>
      <c r="N10" s="54"/>
      <c r="O10" s="22" t="s">
        <v>299</v>
      </c>
      <c r="P10" s="55"/>
      <c r="Q10" s="56"/>
      <c r="R10" s="22"/>
      <c r="S10" s="23" t="s">
        <v>311</v>
      </c>
      <c r="T10" s="57">
        <v>500.0</v>
      </c>
      <c r="U10" s="58"/>
      <c r="V10" s="59"/>
      <c r="W10" s="30"/>
      <c r="X10" s="30"/>
      <c r="Y10" s="30"/>
      <c r="Z10" s="30"/>
      <c r="AA10" s="30"/>
      <c r="AB10" s="30"/>
      <c r="AC10" s="30"/>
      <c r="AD10" s="30"/>
      <c r="AE10" s="30"/>
      <c r="AF10" s="30"/>
      <c r="AG10" s="30"/>
      <c r="AH10" s="30"/>
      <c r="AI10" s="30"/>
      <c r="AJ10" s="30"/>
      <c r="AK10" s="30"/>
      <c r="AL10" s="30"/>
      <c r="AM10" s="30"/>
      <c r="AN10" s="31"/>
      <c r="AO10" s="16"/>
    </row>
    <row r="11" ht="37.5" customHeight="1">
      <c r="A11" s="4" t="str">
        <f>IFERROR(VLOOKUP(C11,'Product List'!$A$2:$C198,2,FALSE),"")</f>
        <v/>
      </c>
      <c r="B11" s="5" t="str">
        <f>IFERROR(VLOOKUP(C11,'Product List'!$A$2:$C198,3,FALSE),"")</f>
        <v/>
      </c>
      <c r="C11" s="6"/>
      <c r="D11" s="7"/>
      <c r="E11" s="17"/>
      <c r="F11" s="60"/>
      <c r="G11" s="61"/>
      <c r="H11" s="61"/>
      <c r="I11" s="61"/>
      <c r="J11" s="61"/>
      <c r="K11" s="61"/>
      <c r="L11" s="61"/>
      <c r="M11" s="61"/>
      <c r="N11" s="39"/>
      <c r="O11" s="61"/>
      <c r="P11" s="61"/>
      <c r="Q11" s="62"/>
      <c r="R11" s="61"/>
      <c r="S11" s="61"/>
      <c r="T11" s="61"/>
      <c r="U11" s="61"/>
      <c r="V11" s="61"/>
      <c r="W11" s="61"/>
      <c r="X11" s="61"/>
      <c r="Y11" s="61"/>
      <c r="Z11" s="61"/>
      <c r="AA11" s="61"/>
      <c r="AB11" s="61"/>
      <c r="AC11" s="61"/>
      <c r="AD11" s="61"/>
      <c r="AE11" s="61"/>
      <c r="AF11" s="61"/>
      <c r="AG11" s="61"/>
      <c r="AH11" s="61"/>
      <c r="AI11" s="61"/>
      <c r="AJ11" s="61"/>
      <c r="AK11" s="61"/>
      <c r="AL11" s="61"/>
      <c r="AM11" s="61"/>
      <c r="AN11" s="63"/>
      <c r="AO11" s="13"/>
    </row>
    <row r="12" ht="15.75" customHeight="1">
      <c r="A12" s="4" t="str">
        <f>IFERROR(VLOOKUP(C12,'Product List'!$A$2:$C198,2,FALSE),"")</f>
        <v/>
      </c>
      <c r="B12" s="5" t="str">
        <f>IFERROR(VLOOKUP(C12,'Product List'!$A$2:$C198,3,FALSE),"")</f>
        <v/>
      </c>
      <c r="C12" s="6"/>
      <c r="D12" s="7"/>
      <c r="E12" s="17"/>
      <c r="F12" s="60"/>
      <c r="G12" s="61"/>
      <c r="H12" s="61"/>
      <c r="I12" s="61"/>
      <c r="J12" s="61"/>
      <c r="K12" s="61"/>
      <c r="L12" s="61"/>
      <c r="M12" s="61"/>
      <c r="N12" s="39"/>
      <c r="O12" s="61"/>
      <c r="P12" s="61"/>
      <c r="Q12" s="62"/>
      <c r="R12" s="61"/>
      <c r="S12" s="61"/>
      <c r="T12" s="61"/>
      <c r="U12" s="61"/>
      <c r="V12" s="61"/>
      <c r="W12" s="61"/>
      <c r="X12" s="61"/>
      <c r="Y12" s="61"/>
      <c r="Z12" s="61"/>
      <c r="AA12" s="61"/>
      <c r="AB12" s="61"/>
      <c r="AC12" s="61"/>
      <c r="AD12" s="61"/>
      <c r="AE12" s="61"/>
      <c r="AF12" s="61"/>
      <c r="AG12" s="61"/>
      <c r="AH12" s="61"/>
      <c r="AI12" s="61"/>
      <c r="AJ12" s="61"/>
      <c r="AK12" s="61"/>
      <c r="AL12" s="61"/>
      <c r="AM12" s="61"/>
      <c r="AN12" s="63"/>
      <c r="AO12" s="13"/>
    </row>
    <row r="13" ht="15.75" customHeight="1">
      <c r="A13" s="4" t="str">
        <f>IFERROR(VLOOKUP(C13,'Product List'!$A$2:$C198,2,FALSE),"")</f>
        <v/>
      </c>
      <c r="B13" s="5" t="str">
        <f>IFERROR(VLOOKUP(C13,'Product List'!$A$2:$C198,3,FALSE),"")</f>
        <v/>
      </c>
      <c r="C13" s="6"/>
      <c r="D13" s="7"/>
      <c r="E13" s="64" t="s">
        <v>312</v>
      </c>
      <c r="F13" s="64" t="s">
        <v>313</v>
      </c>
      <c r="G13" s="65" t="s">
        <v>314</v>
      </c>
      <c r="H13" s="65" t="s">
        <v>315</v>
      </c>
      <c r="I13" s="65" t="s">
        <v>316</v>
      </c>
      <c r="J13" s="66" t="s">
        <v>317</v>
      </c>
      <c r="K13" s="65" t="s">
        <v>318</v>
      </c>
      <c r="L13" s="65" t="s">
        <v>319</v>
      </c>
      <c r="M13" s="65" t="s">
        <v>320</v>
      </c>
      <c r="N13" s="67" t="s">
        <v>321</v>
      </c>
      <c r="O13" s="65" t="s">
        <v>322</v>
      </c>
      <c r="P13" s="65" t="s">
        <v>323</v>
      </c>
      <c r="Q13" s="65" t="s">
        <v>324</v>
      </c>
      <c r="R13" s="65" t="s">
        <v>325</v>
      </c>
      <c r="S13" s="65" t="s">
        <v>326</v>
      </c>
      <c r="T13" s="65" t="s">
        <v>327</v>
      </c>
      <c r="U13" s="65" t="s">
        <v>328</v>
      </c>
      <c r="V13" s="65" t="s">
        <v>329</v>
      </c>
      <c r="W13" s="65" t="s">
        <v>330</v>
      </c>
      <c r="X13" s="65" t="s">
        <v>331</v>
      </c>
      <c r="Y13" s="65" t="s">
        <v>332</v>
      </c>
      <c r="Z13" s="65" t="s">
        <v>333</v>
      </c>
      <c r="AA13" s="65" t="s">
        <v>334</v>
      </c>
      <c r="AB13" s="65" t="s">
        <v>335</v>
      </c>
      <c r="AC13" s="65" t="s">
        <v>336</v>
      </c>
      <c r="AD13" s="65" t="s">
        <v>337</v>
      </c>
      <c r="AE13" s="65" t="s">
        <v>338</v>
      </c>
      <c r="AF13" s="65" t="s">
        <v>339</v>
      </c>
      <c r="AG13" s="65" t="s">
        <v>340</v>
      </c>
      <c r="AH13" s="65" t="s">
        <v>341</v>
      </c>
      <c r="AI13" s="65" t="s">
        <v>342</v>
      </c>
      <c r="AJ13" s="65" t="s">
        <v>343</v>
      </c>
      <c r="AK13" s="65" t="s">
        <v>344</v>
      </c>
      <c r="AL13" s="68" t="s">
        <v>345</v>
      </c>
      <c r="AM13" s="65" t="s">
        <v>346</v>
      </c>
      <c r="AN13" s="69" t="s">
        <v>319</v>
      </c>
      <c r="AO13" s="13"/>
    </row>
    <row r="14" ht="15.75" customHeight="1">
      <c r="A14" s="4" t="str">
        <f>IFERROR(VLOOKUP(C14,'Product List'!$A$2:$C198,2,FALSE),"")</f>
        <v/>
      </c>
      <c r="B14" s="5" t="str">
        <f>IFERROR(VLOOKUP(C14,'Product List'!$A$2:$C198,3,FALSE),"")</f>
        <v/>
      </c>
      <c r="C14" s="6"/>
      <c r="D14" s="7"/>
      <c r="E14" s="70" t="s">
        <v>347</v>
      </c>
      <c r="F14" s="71"/>
      <c r="G14" s="67" t="s">
        <v>348</v>
      </c>
      <c r="H14" s="67" t="s">
        <v>349</v>
      </c>
      <c r="I14" s="67" t="s">
        <v>350</v>
      </c>
      <c r="J14" s="72" t="s">
        <v>351</v>
      </c>
      <c r="K14" s="67" t="s">
        <v>314</v>
      </c>
      <c r="L14" s="67" t="s">
        <v>352</v>
      </c>
      <c r="M14" s="67" t="s">
        <v>352</v>
      </c>
      <c r="N14" s="67" t="s">
        <v>353</v>
      </c>
      <c r="O14" s="67" t="s">
        <v>354</v>
      </c>
      <c r="P14" s="67" t="s">
        <v>354</v>
      </c>
      <c r="Q14" s="67" t="s">
        <v>354</v>
      </c>
      <c r="R14" s="67" t="s">
        <v>354</v>
      </c>
      <c r="S14" s="67" t="s">
        <v>354</v>
      </c>
      <c r="T14" s="67" t="s">
        <v>354</v>
      </c>
      <c r="U14" s="67" t="s">
        <v>354</v>
      </c>
      <c r="V14" s="67" t="s">
        <v>354</v>
      </c>
      <c r="W14" s="67" t="s">
        <v>354</v>
      </c>
      <c r="X14" s="67" t="s">
        <v>354</v>
      </c>
      <c r="Y14" s="67" t="s">
        <v>354</v>
      </c>
      <c r="Z14" s="67" t="s">
        <v>354</v>
      </c>
      <c r="AA14" s="67" t="s">
        <v>354</v>
      </c>
      <c r="AB14" s="67" t="s">
        <v>354</v>
      </c>
      <c r="AC14" s="67" t="s">
        <v>354</v>
      </c>
      <c r="AD14" s="67" t="s">
        <v>354</v>
      </c>
      <c r="AE14" s="67" t="s">
        <v>354</v>
      </c>
      <c r="AF14" s="67" t="s">
        <v>354</v>
      </c>
      <c r="AG14" s="67" t="s">
        <v>354</v>
      </c>
      <c r="AH14" s="67" t="s">
        <v>354</v>
      </c>
      <c r="AI14" s="67" t="s">
        <v>354</v>
      </c>
      <c r="AJ14" s="67" t="s">
        <v>354</v>
      </c>
      <c r="AK14" s="67" t="s">
        <v>354</v>
      </c>
      <c r="AL14" s="67"/>
      <c r="AM14" s="67"/>
      <c r="AN14" s="73" t="s">
        <v>355</v>
      </c>
      <c r="AO14" s="13"/>
    </row>
    <row r="15" ht="15.75" customHeight="1">
      <c r="A15" s="4" t="str">
        <f>IFERROR(VLOOKUP(C15,'Product List'!$A$2:$C198,2,FALSE),"")</f>
        <v/>
      </c>
      <c r="B15" s="5" t="str">
        <f>IFERROR(VLOOKUP(C15,'Product List'!$A$2:$C198,3,FALSE),"")</f>
        <v/>
      </c>
      <c r="C15" s="6"/>
      <c r="D15" s="7"/>
      <c r="E15" s="70"/>
      <c r="F15" s="71"/>
      <c r="G15" s="67"/>
      <c r="H15" s="74" t="s">
        <v>356</v>
      </c>
      <c r="I15" s="74" t="s">
        <v>314</v>
      </c>
      <c r="J15" s="74"/>
      <c r="K15" s="74"/>
      <c r="L15" s="72" t="s">
        <v>357</v>
      </c>
      <c r="M15" s="74" t="s">
        <v>357</v>
      </c>
      <c r="N15" s="67"/>
      <c r="O15" s="67"/>
      <c r="P15" s="67"/>
      <c r="Q15" s="67"/>
      <c r="R15" s="67"/>
      <c r="S15" s="67"/>
      <c r="T15" s="67"/>
      <c r="U15" s="67"/>
      <c r="V15" s="67"/>
      <c r="W15" s="67"/>
      <c r="X15" s="67"/>
      <c r="Y15" s="67"/>
      <c r="Z15" s="67"/>
      <c r="AA15" s="67"/>
      <c r="AB15" s="67"/>
      <c r="AC15" s="67"/>
      <c r="AD15" s="67"/>
      <c r="AE15" s="67"/>
      <c r="AF15" s="67"/>
      <c r="AG15" s="67"/>
      <c r="AH15" s="67"/>
      <c r="AI15" s="67"/>
      <c r="AJ15" s="67"/>
      <c r="AK15" s="67"/>
      <c r="AL15" s="75"/>
      <c r="AM15" s="75"/>
      <c r="AN15" s="73"/>
      <c r="AO15" s="13"/>
    </row>
    <row r="16" ht="30.0" customHeight="1">
      <c r="A16" s="4" t="str">
        <f>IFERROR(VLOOKUP(C16,'Product List'!$A$2:$C198,2,FALSE),"")</f>
        <v/>
      </c>
      <c r="B16" s="5" t="str">
        <f>IFERROR(VLOOKUP(C16,'Product List'!$A$2:$C198,3,FALSE),"")</f>
        <v/>
      </c>
      <c r="C16" s="6"/>
      <c r="D16" s="7"/>
      <c r="E16" s="76">
        <v>1.0</v>
      </c>
      <c r="F16" s="77" t="s">
        <v>358</v>
      </c>
      <c r="G16" s="78">
        <v>7000.0</v>
      </c>
      <c r="H16" s="78">
        <v>0.0</v>
      </c>
      <c r="I16" s="78">
        <f>IFERROR(__xludf.DUMMYFUNCTION("+G16-H16"),7000.0)</f>
        <v>7000</v>
      </c>
      <c r="J16" s="78">
        <v>0.0</v>
      </c>
      <c r="K16" s="78">
        <f>IFERROR(__xludf.DUMMYFUNCTION("+I16+J16"),7000.0)</f>
        <v>7000</v>
      </c>
      <c r="L16" s="79">
        <f>IFERROR(__xludf.DUMMYFUNCTION("+K16/$K$190"),5.035971223021583E-4)</f>
        <v>0.0005035971223</v>
      </c>
      <c r="M16" s="78">
        <f>IFERROR(__xludf.DUMMYFUNCTION("+K16/$T$9"),0.08513018838094544)</f>
        <v>0.08513018838</v>
      </c>
      <c r="N16" s="80">
        <f>IFERROR(__xludf.DUMMYFUNCTION("+K16-SUM(O16:AL16)"),7000.0)</f>
        <v>7000</v>
      </c>
      <c r="O16" s="81">
        <v>0.0</v>
      </c>
      <c r="P16" s="82">
        <v>0.0</v>
      </c>
      <c r="Q16" s="83">
        <v>0.0</v>
      </c>
      <c r="R16" s="83">
        <v>0.0</v>
      </c>
      <c r="S16" s="83">
        <v>0.0</v>
      </c>
      <c r="T16" s="83">
        <v>0.0</v>
      </c>
      <c r="U16" s="83">
        <v>0.0</v>
      </c>
      <c r="V16" s="83">
        <v>0.0</v>
      </c>
      <c r="W16" s="83">
        <v>0.0</v>
      </c>
      <c r="X16" s="83">
        <v>0.0</v>
      </c>
      <c r="Y16" s="83">
        <v>0.0</v>
      </c>
      <c r="Z16" s="83">
        <v>0.0</v>
      </c>
      <c r="AA16" s="83">
        <v>0.0</v>
      </c>
      <c r="AB16" s="83">
        <v>0.0</v>
      </c>
      <c r="AC16" s="83">
        <v>0.0</v>
      </c>
      <c r="AD16" s="83">
        <v>0.0</v>
      </c>
      <c r="AE16" s="83">
        <v>0.0</v>
      </c>
      <c r="AF16" s="83">
        <v>0.0</v>
      </c>
      <c r="AG16" s="83">
        <v>0.0</v>
      </c>
      <c r="AH16" s="83">
        <v>0.0</v>
      </c>
      <c r="AI16" s="83">
        <v>0.0</v>
      </c>
      <c r="AJ16" s="83">
        <v>0.0</v>
      </c>
      <c r="AK16" s="84">
        <v>0.0</v>
      </c>
      <c r="AL16" s="85"/>
      <c r="AM16" s="85">
        <f t="shared" ref="AM16:AM189" si="1">SUM(O16:AL16)</f>
        <v>0</v>
      </c>
      <c r="AN16" s="86">
        <f t="shared" ref="AN16:AN190" si="2">IF(K16=0,"",(K16-N16-AL16)/K16)</f>
        <v>0</v>
      </c>
      <c r="AO16" s="13"/>
    </row>
    <row r="17" ht="30.0" customHeight="1">
      <c r="A17" s="4" t="str">
        <f>IFERROR(VLOOKUP(C17,'Product List'!$A$2:$C198,2,FALSE),"")</f>
        <v/>
      </c>
      <c r="B17" s="5" t="str">
        <f>IFERROR(VLOOKUP(C17,'Product List'!$A$2:$C198,3,FALSE),"")</f>
        <v/>
      </c>
      <c r="C17" s="6"/>
      <c r="D17" s="7"/>
      <c r="E17" s="76">
        <f>IFERROR(__xludf.DUMMYFUNCTION("+E16+1"),2.0)</f>
        <v>2</v>
      </c>
      <c r="F17" s="77" t="s">
        <v>359</v>
      </c>
      <c r="G17" s="78">
        <v>1197367.29</v>
      </c>
      <c r="H17" s="78">
        <v>300000.0</v>
      </c>
      <c r="I17" s="78">
        <f>IFERROR(__xludf.DUMMYFUNCTION("+G17-H17"),897367.29)</f>
        <v>897367.29</v>
      </c>
      <c r="J17" s="78">
        <v>0.0</v>
      </c>
      <c r="K17" s="78">
        <f>IFERROR(__xludf.DUMMYFUNCTION("+I17+J17"),897367.29)</f>
        <v>897367.29</v>
      </c>
      <c r="L17" s="79">
        <f>IFERROR(__xludf.DUMMYFUNCTION("+K17/$K$190"),0.06455879784172662)</f>
        <v>0.06455879784</v>
      </c>
      <c r="M17" s="78">
        <f>IFERROR(__xludf.DUMMYFUNCTION("+K17/$T$9"),10.913292349228357)</f>
        <v>10.91329235</v>
      </c>
      <c r="N17" s="80">
        <f>IFERROR(__xludf.DUMMYFUNCTION("+K17-SUM(O17:AL17)"),156738.71000000008)</f>
        <v>156738.71</v>
      </c>
      <c r="O17" s="87">
        <f>115016.94-5283.3</f>
        <v>109733.64</v>
      </c>
      <c r="P17" s="88">
        <v>0.0</v>
      </c>
      <c r="Q17" s="89">
        <v>161975.0</v>
      </c>
      <c r="R17" s="88">
        <v>132681.75</v>
      </c>
      <c r="S17" s="88">
        <f>33960-1698</f>
        <v>32262</v>
      </c>
      <c r="T17" s="89">
        <v>0.0</v>
      </c>
      <c r="U17" s="89">
        <v>0.0</v>
      </c>
      <c r="V17" s="88">
        <f>281486.64+22489.55-36563.88</f>
        <v>267412.31</v>
      </c>
      <c r="W17" s="89">
        <v>0.0</v>
      </c>
      <c r="X17" s="89">
        <v>0.0</v>
      </c>
      <c r="Y17" s="89">
        <v>0.0</v>
      </c>
      <c r="Z17" s="89">
        <v>0.0</v>
      </c>
      <c r="AA17" s="89">
        <v>0.0</v>
      </c>
      <c r="AB17" s="89">
        <v>0.0</v>
      </c>
      <c r="AC17" s="89">
        <v>0.0</v>
      </c>
      <c r="AD17" s="89">
        <v>0.0</v>
      </c>
      <c r="AE17" s="89">
        <v>0.0</v>
      </c>
      <c r="AF17" s="89">
        <v>0.0</v>
      </c>
      <c r="AG17" s="89">
        <v>0.0</v>
      </c>
      <c r="AH17" s="89">
        <v>0.0</v>
      </c>
      <c r="AI17" s="89">
        <v>0.0</v>
      </c>
      <c r="AJ17" s="89">
        <v>0.0</v>
      </c>
      <c r="AK17" s="90">
        <v>0.0</v>
      </c>
      <c r="AL17" s="91">
        <v>36563.88</v>
      </c>
      <c r="AM17" s="85">
        <f t="shared" si="1"/>
        <v>740628.58</v>
      </c>
      <c r="AN17" s="86">
        <f t="shared" si="2"/>
        <v>0.7845892176</v>
      </c>
      <c r="AO17" s="13"/>
    </row>
    <row r="18" ht="30.0" customHeight="1">
      <c r="A18" s="4" t="str">
        <f>IFERROR(VLOOKUP(C18,'Product List'!$A$2:$C198,2,FALSE),"")</f>
        <v/>
      </c>
      <c r="B18" s="5" t="str">
        <f>IFERROR(VLOOKUP(C18,'Product List'!$A$2:$C198,3,FALSE),"")</f>
        <v/>
      </c>
      <c r="C18" s="6"/>
      <c r="D18" s="7"/>
      <c r="E18" s="76">
        <f>IFERROR(__xludf.DUMMYFUNCTION("+E17+1"),3.0)</f>
        <v>3</v>
      </c>
      <c r="F18" s="77" t="s">
        <v>360</v>
      </c>
      <c r="G18" s="78">
        <v>408552.0</v>
      </c>
      <c r="H18" s="78">
        <v>216541.42</v>
      </c>
      <c r="I18" s="78">
        <f>IFERROR(__xludf.DUMMYFUNCTION("+G18-H18"),192010.58)</f>
        <v>192010.58</v>
      </c>
      <c r="J18" s="78">
        <v>0.0</v>
      </c>
      <c r="K18" s="78">
        <f>IFERROR(__xludf.DUMMYFUNCTION("+I18+J18"),192010.58)</f>
        <v>192010.58</v>
      </c>
      <c r="L18" s="79">
        <f>IFERROR(__xludf.DUMMYFUNCTION("+K18/$K$190"),0.013813710791366906)</f>
        <v>0.01381371079</v>
      </c>
      <c r="M18" s="78">
        <f>IFERROR(__xludf.DUMMYFUNCTION("+K18/$T$9"),2.335128120933513)</f>
        <v>2.335128121</v>
      </c>
      <c r="N18" s="80">
        <f>IFERROR(__xludf.DUMMYFUNCTION("+K18-SUM(O18:AL18)"),170917.0)</f>
        <v>170917</v>
      </c>
      <c r="O18" s="87">
        <v>7268.96</v>
      </c>
      <c r="P18" s="88">
        <v>0.0</v>
      </c>
      <c r="Q18" s="89">
        <v>2457.93</v>
      </c>
      <c r="R18" s="88">
        <v>4200.0</v>
      </c>
      <c r="S18" s="88">
        <v>2501.06</v>
      </c>
      <c r="T18" s="89">
        <v>0.0</v>
      </c>
      <c r="U18" s="89">
        <v>0.0</v>
      </c>
      <c r="V18" s="88">
        <v>205.61</v>
      </c>
      <c r="W18" s="89">
        <v>0.0</v>
      </c>
      <c r="X18" s="89">
        <v>0.0</v>
      </c>
      <c r="Y18" s="89">
        <v>0.0</v>
      </c>
      <c r="Z18" s="89">
        <v>0.0</v>
      </c>
      <c r="AA18" s="89">
        <v>0.0</v>
      </c>
      <c r="AB18" s="89">
        <v>0.0</v>
      </c>
      <c r="AC18" s="89">
        <v>0.0</v>
      </c>
      <c r="AD18" s="89">
        <v>0.0</v>
      </c>
      <c r="AE18" s="89">
        <v>0.0</v>
      </c>
      <c r="AF18" s="89">
        <v>0.0</v>
      </c>
      <c r="AG18" s="89">
        <v>0.0</v>
      </c>
      <c r="AH18" s="89">
        <v>0.0</v>
      </c>
      <c r="AI18" s="89">
        <v>0.0</v>
      </c>
      <c r="AJ18" s="89">
        <v>0.0</v>
      </c>
      <c r="AK18" s="90">
        <v>0.0</v>
      </c>
      <c r="AL18" s="91">
        <v>4460.02</v>
      </c>
      <c r="AM18" s="85">
        <f t="shared" si="1"/>
        <v>21093.58</v>
      </c>
      <c r="AN18" s="86">
        <f t="shared" si="2"/>
        <v>0.08662835142</v>
      </c>
      <c r="AO18" s="13"/>
    </row>
    <row r="19" ht="30.0" customHeight="1">
      <c r="A19" s="4" t="str">
        <f>IFERROR(VLOOKUP(C19,'Product List'!$A$2:$C198,2,FALSE),"")</f>
        <v/>
      </c>
      <c r="B19" s="5" t="str">
        <f>IFERROR(VLOOKUP(C19,'Product List'!$A$2:$C198,3,FALSE),"")</f>
        <v/>
      </c>
      <c r="C19" s="6"/>
      <c r="D19" s="7"/>
      <c r="E19" s="76">
        <f>IFERROR(__xludf.DUMMYFUNCTION("+E18+1"),4.0)</f>
        <v>4</v>
      </c>
      <c r="F19" s="77" t="s">
        <v>361</v>
      </c>
      <c r="G19" s="78">
        <v>44475.0</v>
      </c>
      <c r="H19" s="78">
        <v>0.0</v>
      </c>
      <c r="I19" s="78">
        <f>IFERROR(__xludf.DUMMYFUNCTION("+G19-H19"),44475.0)</f>
        <v>44475</v>
      </c>
      <c r="J19" s="78">
        <v>0.0</v>
      </c>
      <c r="K19" s="78">
        <f>IFERROR(__xludf.DUMMYFUNCTION("+I19+J19"),44475.0)</f>
        <v>44475</v>
      </c>
      <c r="L19" s="79">
        <f>IFERROR(__xludf.DUMMYFUNCTION("+K19/$K$190"),0.0031996402877697843)</f>
        <v>0.003199640288</v>
      </c>
      <c r="M19" s="78">
        <f>IFERROR(__xludf.DUMMYFUNCTION("+K19/$T$9"),0.5408807326060783)</f>
        <v>0.5408807326</v>
      </c>
      <c r="N19" s="80">
        <f>IFERROR(__xludf.DUMMYFUNCTION("+K19-SUM(O19:AL19)"),44475.0)</f>
        <v>44475</v>
      </c>
      <c r="O19" s="81">
        <v>0.0</v>
      </c>
      <c r="P19" s="88">
        <v>0.0</v>
      </c>
      <c r="Q19" s="89">
        <v>0.0</v>
      </c>
      <c r="R19" s="88">
        <v>0.0</v>
      </c>
      <c r="S19" s="89">
        <v>0.0</v>
      </c>
      <c r="T19" s="89">
        <v>0.0</v>
      </c>
      <c r="U19" s="89">
        <v>0.0</v>
      </c>
      <c r="V19" s="89">
        <v>0.0</v>
      </c>
      <c r="W19" s="89">
        <v>0.0</v>
      </c>
      <c r="X19" s="89">
        <v>0.0</v>
      </c>
      <c r="Y19" s="89">
        <v>0.0</v>
      </c>
      <c r="Z19" s="89">
        <v>0.0</v>
      </c>
      <c r="AA19" s="89">
        <v>0.0</v>
      </c>
      <c r="AB19" s="89">
        <v>0.0</v>
      </c>
      <c r="AC19" s="89">
        <v>0.0</v>
      </c>
      <c r="AD19" s="89">
        <v>0.0</v>
      </c>
      <c r="AE19" s="89">
        <v>0.0</v>
      </c>
      <c r="AF19" s="89">
        <v>0.0</v>
      </c>
      <c r="AG19" s="89">
        <v>0.0</v>
      </c>
      <c r="AH19" s="89">
        <v>0.0</v>
      </c>
      <c r="AI19" s="89">
        <v>0.0</v>
      </c>
      <c r="AJ19" s="89">
        <v>0.0</v>
      </c>
      <c r="AK19" s="90">
        <v>0.0</v>
      </c>
      <c r="AL19" s="91"/>
      <c r="AM19" s="85">
        <f t="shared" si="1"/>
        <v>0</v>
      </c>
      <c r="AN19" s="86">
        <f t="shared" si="2"/>
        <v>0</v>
      </c>
      <c r="AO19" s="13"/>
    </row>
    <row r="20" ht="30.0" customHeight="1">
      <c r="A20" s="4" t="str">
        <f>IFERROR(VLOOKUP(C20,'Product List'!$A$2:$C198,2,FALSE),"")</f>
        <v/>
      </c>
      <c r="B20" s="5" t="str">
        <f>IFERROR(VLOOKUP(C20,'Product List'!$A$2:$C198,3,FALSE),"")</f>
        <v/>
      </c>
      <c r="C20" s="6"/>
      <c r="D20" s="7"/>
      <c r="E20" s="76">
        <f>IFERROR(__xludf.DUMMYFUNCTION("+E19+1"),5.0)</f>
        <v>5</v>
      </c>
      <c r="F20" s="77" t="s">
        <v>362</v>
      </c>
      <c r="G20" s="78">
        <v>2063122.0</v>
      </c>
      <c r="H20" s="78">
        <v>100000.0</v>
      </c>
      <c r="I20" s="78">
        <f>IFERROR(__xludf.DUMMYFUNCTION("+G20-H20"),1963122.0)</f>
        <v>1963122</v>
      </c>
      <c r="J20" s="78">
        <v>0.0</v>
      </c>
      <c r="K20" s="78">
        <f>IFERROR(__xludf.DUMMYFUNCTION("+I20+J20"),1963122.0)</f>
        <v>1963122</v>
      </c>
      <c r="L20" s="79">
        <f>IFERROR(__xludf.DUMMYFUNCTION("+K20/$K$190"),0.1412317985611511)</f>
        <v>0.1412317986</v>
      </c>
      <c r="M20" s="78">
        <f>IFERROR(__xludf.DUMMYFUNCTION("+K20/$T$9"),23.874420810682622)</f>
        <v>23.87442081</v>
      </c>
      <c r="N20" s="80">
        <f>IFERROR(__xludf.DUMMYFUNCTION("+K20-SUM(O20:AL20)"),58107.62000000011)</f>
        <v>58107.62</v>
      </c>
      <c r="O20" s="87">
        <f>504946-25247.3</f>
        <v>479698.7</v>
      </c>
      <c r="P20" s="88">
        <f>820034-41001.7</f>
        <v>779032.3</v>
      </c>
      <c r="Q20" s="89">
        <v>236538.97</v>
      </c>
      <c r="R20" s="88">
        <v>0.0</v>
      </c>
      <c r="S20" s="89">
        <v>0.0</v>
      </c>
      <c r="T20" s="88">
        <f>331046-16552.31</f>
        <v>314493.69</v>
      </c>
      <c r="U20" s="89">
        <v>0.0</v>
      </c>
      <c r="V20" s="89">
        <v>0.0</v>
      </c>
      <c r="W20" s="89">
        <v>0.0</v>
      </c>
      <c r="X20" s="89">
        <v>0.0</v>
      </c>
      <c r="Y20" s="89">
        <v>0.0</v>
      </c>
      <c r="Z20" s="89">
        <v>0.0</v>
      </c>
      <c r="AA20" s="89">
        <v>0.0</v>
      </c>
      <c r="AB20" s="89">
        <v>0.0</v>
      </c>
      <c r="AC20" s="89">
        <v>0.0</v>
      </c>
      <c r="AD20" s="89">
        <v>0.0</v>
      </c>
      <c r="AE20" s="89">
        <v>0.0</v>
      </c>
      <c r="AF20" s="89">
        <v>0.0</v>
      </c>
      <c r="AG20" s="89">
        <v>0.0</v>
      </c>
      <c r="AH20" s="89">
        <v>0.0</v>
      </c>
      <c r="AI20" s="89">
        <v>0.0</v>
      </c>
      <c r="AJ20" s="89">
        <v>0.0</v>
      </c>
      <c r="AK20" s="90">
        <v>0.0</v>
      </c>
      <c r="AL20" s="91">
        <v>95250.72</v>
      </c>
      <c r="AM20" s="85">
        <f t="shared" si="1"/>
        <v>1905014.38</v>
      </c>
      <c r="AN20" s="86">
        <f t="shared" si="2"/>
        <v>0.9218803824</v>
      </c>
      <c r="AO20" s="13"/>
    </row>
    <row r="21" ht="30.0" customHeight="1">
      <c r="A21" s="4" t="str">
        <f>IFERROR(VLOOKUP(C21,'Product List'!$A$2:$C198,2,FALSE),"")</f>
        <v/>
      </c>
      <c r="B21" s="5" t="str">
        <f>IFERROR(VLOOKUP(C21,'Product List'!$A$2:$C198,3,FALSE),"")</f>
        <v/>
      </c>
      <c r="C21" s="6"/>
      <c r="D21" s="7"/>
      <c r="E21" s="76">
        <f>IFERROR(__xludf.DUMMYFUNCTION("+E20+1"),6.0)</f>
        <v>6</v>
      </c>
      <c r="F21" s="77" t="s">
        <v>363</v>
      </c>
      <c r="G21" s="78">
        <v>235254.4</v>
      </c>
      <c r="H21" s="78">
        <v>0.0</v>
      </c>
      <c r="I21" s="78">
        <f>IFERROR(__xludf.DUMMYFUNCTION("+G21-H21"),235254.4)</f>
        <v>235254.4</v>
      </c>
      <c r="J21" s="78">
        <v>0.0</v>
      </c>
      <c r="K21" s="78">
        <f>IFERROR(__xludf.DUMMYFUNCTION("+I21+J21"),235254.4)</f>
        <v>235254.4</v>
      </c>
      <c r="L21" s="79">
        <f>IFERROR(__xludf.DUMMYFUNCTION("+K21/$K$190"),0.016924776978417266)</f>
        <v>0.01692477698</v>
      </c>
      <c r="M21" s="78">
        <f>IFERROR(__xludf.DUMMYFUNCTION("+K21/$T$9"),2.8610359127780414)</f>
        <v>2.861035913</v>
      </c>
      <c r="N21" s="80">
        <f>IFERROR(__xludf.DUMMYFUNCTION("+K21-SUM(O21:AL21)"),115838.79999999999)</f>
        <v>115838.8</v>
      </c>
      <c r="O21" s="81">
        <v>0.0</v>
      </c>
      <c r="P21" s="88">
        <v>0.0</v>
      </c>
      <c r="Q21" s="89">
        <v>0.0</v>
      </c>
      <c r="R21" s="88">
        <v>80750.0</v>
      </c>
      <c r="S21" s="89">
        <v>0.0</v>
      </c>
      <c r="T21" s="89">
        <v>0.0</v>
      </c>
      <c r="U21" s="88">
        <f>34415.6+4250-5970.78</f>
        <v>32694.82</v>
      </c>
      <c r="V21" s="89">
        <v>0.0</v>
      </c>
      <c r="W21" s="89">
        <v>0.0</v>
      </c>
      <c r="X21" s="89">
        <v>0.0</v>
      </c>
      <c r="Y21" s="89">
        <v>0.0</v>
      </c>
      <c r="Z21" s="89">
        <v>0.0</v>
      </c>
      <c r="AA21" s="89">
        <v>0.0</v>
      </c>
      <c r="AB21" s="89">
        <v>0.0</v>
      </c>
      <c r="AC21" s="89">
        <v>0.0</v>
      </c>
      <c r="AD21" s="89">
        <v>0.0</v>
      </c>
      <c r="AE21" s="89">
        <v>0.0</v>
      </c>
      <c r="AF21" s="89">
        <v>0.0</v>
      </c>
      <c r="AG21" s="89">
        <v>0.0</v>
      </c>
      <c r="AH21" s="89">
        <v>0.0</v>
      </c>
      <c r="AI21" s="89">
        <v>0.0</v>
      </c>
      <c r="AJ21" s="89">
        <v>0.0</v>
      </c>
      <c r="AK21" s="90">
        <v>0.0</v>
      </c>
      <c r="AL21" s="91">
        <v>5970.78</v>
      </c>
      <c r="AM21" s="85">
        <f t="shared" si="1"/>
        <v>119415.6</v>
      </c>
      <c r="AN21" s="86">
        <f t="shared" si="2"/>
        <v>0.4822218841</v>
      </c>
      <c r="AO21" s="13"/>
    </row>
    <row r="22" ht="30.0" customHeight="1">
      <c r="A22" s="4" t="str">
        <f>IFERROR(VLOOKUP(C22,'Product List'!$A$2:$C198,2,FALSE),"")</f>
        <v/>
      </c>
      <c r="B22" s="5" t="str">
        <f>IFERROR(VLOOKUP(C22,'Product List'!$A$2:$C198,3,FALSE),"")</f>
        <v/>
      </c>
      <c r="C22" s="6"/>
      <c r="D22" s="7"/>
      <c r="E22" s="76">
        <f>IFERROR(__xludf.DUMMYFUNCTION("+E21+1"),7.0)</f>
        <v>7</v>
      </c>
      <c r="F22" s="77" t="s">
        <v>364</v>
      </c>
      <c r="G22" s="78">
        <v>72445.0</v>
      </c>
      <c r="H22" s="78">
        <v>0.0</v>
      </c>
      <c r="I22" s="78">
        <f>IFERROR(__xludf.DUMMYFUNCTION("+G22-H22"),72445.0)</f>
        <v>72445</v>
      </c>
      <c r="J22" s="78">
        <v>0.0</v>
      </c>
      <c r="K22" s="78">
        <f>IFERROR(__xludf.DUMMYFUNCTION("+I22+J22"),72445.0)</f>
        <v>72445</v>
      </c>
      <c r="L22" s="79">
        <f>IFERROR(__xludf.DUMMYFUNCTION("+K22/$K$190"),0.005211870503597123)</f>
        <v>0.005211870504</v>
      </c>
      <c r="M22" s="78">
        <f>IFERROR(__xludf.DUMMYFUNCTION("+K22/$T$9"),0.8810366424653703)</f>
        <v>0.8810366425</v>
      </c>
      <c r="N22" s="80">
        <f>IFERROR(__xludf.DUMMYFUNCTION("+K22-SUM(O22:AL22)"),72445.0)</f>
        <v>72445</v>
      </c>
      <c r="O22" s="81">
        <v>0.0</v>
      </c>
      <c r="P22" s="88">
        <v>0.0</v>
      </c>
      <c r="Q22" s="89">
        <v>0.0</v>
      </c>
      <c r="R22" s="88">
        <v>0.0</v>
      </c>
      <c r="S22" s="89">
        <v>0.0</v>
      </c>
      <c r="T22" s="89">
        <v>0.0</v>
      </c>
      <c r="U22" s="89">
        <v>0.0</v>
      </c>
      <c r="V22" s="89">
        <v>0.0</v>
      </c>
      <c r="W22" s="89">
        <v>0.0</v>
      </c>
      <c r="X22" s="89">
        <v>0.0</v>
      </c>
      <c r="Y22" s="89">
        <v>0.0</v>
      </c>
      <c r="Z22" s="89">
        <v>0.0</v>
      </c>
      <c r="AA22" s="89">
        <v>0.0</v>
      </c>
      <c r="AB22" s="89">
        <v>0.0</v>
      </c>
      <c r="AC22" s="89">
        <v>0.0</v>
      </c>
      <c r="AD22" s="89">
        <v>0.0</v>
      </c>
      <c r="AE22" s="89">
        <v>0.0</v>
      </c>
      <c r="AF22" s="89">
        <v>0.0</v>
      </c>
      <c r="AG22" s="89">
        <v>0.0</v>
      </c>
      <c r="AH22" s="89">
        <v>0.0</v>
      </c>
      <c r="AI22" s="89">
        <v>0.0</v>
      </c>
      <c r="AJ22" s="89">
        <v>0.0</v>
      </c>
      <c r="AK22" s="90">
        <v>0.0</v>
      </c>
      <c r="AL22" s="85"/>
      <c r="AM22" s="85">
        <f t="shared" si="1"/>
        <v>0</v>
      </c>
      <c r="AN22" s="86">
        <f t="shared" si="2"/>
        <v>0</v>
      </c>
      <c r="AO22" s="13"/>
    </row>
    <row r="23" ht="30.0" customHeight="1">
      <c r="A23" s="4" t="str">
        <f>IFERROR(VLOOKUP(C23,'Product List'!$A$2:$C198,2,FALSE),"")</f>
        <v/>
      </c>
      <c r="B23" s="5" t="str">
        <f>IFERROR(VLOOKUP(C23,'Product List'!$A$2:$C198,3,FALSE),"")</f>
        <v/>
      </c>
      <c r="C23" s="6"/>
      <c r="D23" s="7"/>
      <c r="E23" s="76">
        <f>IFERROR(__xludf.DUMMYFUNCTION("+E22+1"),8.0)</f>
        <v>8</v>
      </c>
      <c r="F23" s="77" t="s">
        <v>365</v>
      </c>
      <c r="G23" s="78">
        <v>35813.74</v>
      </c>
      <c r="H23" s="78">
        <v>0.0</v>
      </c>
      <c r="I23" s="78">
        <f>IFERROR(__xludf.DUMMYFUNCTION("+G23-H23"),35813.74)</f>
        <v>35813.74</v>
      </c>
      <c r="J23" s="78">
        <v>0.0</v>
      </c>
      <c r="K23" s="78">
        <f>IFERROR(__xludf.DUMMYFUNCTION("+I23+J23"),35813.74)</f>
        <v>35813.74</v>
      </c>
      <c r="L23" s="79">
        <f>IFERROR(__xludf.DUMMYFUNCTION("+K23/$K$190"),0.0025765280575539566)</f>
        <v>0.002576528058</v>
      </c>
      <c r="M23" s="78">
        <f>IFERROR(__xludf.DUMMYFUNCTION("+K23/$T$9"),0.43554720468945723)</f>
        <v>0.4355472047</v>
      </c>
      <c r="N23" s="80">
        <f>IFERROR(__xludf.DUMMYFUNCTION("+K23-SUM(O23:AL23)"),35813.74)</f>
        <v>35813.74</v>
      </c>
      <c r="O23" s="81">
        <v>0.0</v>
      </c>
      <c r="P23" s="88">
        <v>0.0</v>
      </c>
      <c r="Q23" s="89">
        <v>0.0</v>
      </c>
      <c r="R23" s="88">
        <v>0.0</v>
      </c>
      <c r="S23" s="89">
        <v>0.0</v>
      </c>
      <c r="T23" s="89">
        <v>0.0</v>
      </c>
      <c r="U23" s="89">
        <v>0.0</v>
      </c>
      <c r="V23" s="89">
        <v>0.0</v>
      </c>
      <c r="W23" s="89">
        <v>0.0</v>
      </c>
      <c r="X23" s="89">
        <v>0.0</v>
      </c>
      <c r="Y23" s="89">
        <v>0.0</v>
      </c>
      <c r="Z23" s="89">
        <v>0.0</v>
      </c>
      <c r="AA23" s="89">
        <v>0.0</v>
      </c>
      <c r="AB23" s="89">
        <v>0.0</v>
      </c>
      <c r="AC23" s="89">
        <v>0.0</v>
      </c>
      <c r="AD23" s="89">
        <v>0.0</v>
      </c>
      <c r="AE23" s="89">
        <v>0.0</v>
      </c>
      <c r="AF23" s="89">
        <v>0.0</v>
      </c>
      <c r="AG23" s="89">
        <v>0.0</v>
      </c>
      <c r="AH23" s="89">
        <v>0.0</v>
      </c>
      <c r="AI23" s="89">
        <v>0.0</v>
      </c>
      <c r="AJ23" s="89">
        <v>0.0</v>
      </c>
      <c r="AK23" s="90">
        <v>0.0</v>
      </c>
      <c r="AL23" s="85"/>
      <c r="AM23" s="85">
        <f t="shared" si="1"/>
        <v>0</v>
      </c>
      <c r="AN23" s="86">
        <f t="shared" si="2"/>
        <v>0</v>
      </c>
      <c r="AO23" s="13"/>
    </row>
    <row r="24" ht="30.0" customHeight="1">
      <c r="A24" s="4" t="str">
        <f>IFERROR(VLOOKUP(C24,'Product List'!$A$2:$C198,2,FALSE),"")</f>
        <v/>
      </c>
      <c r="B24" s="5" t="str">
        <f>IFERROR(VLOOKUP(C24,'Product List'!$A$2:$C198,3,FALSE),"")</f>
        <v/>
      </c>
      <c r="C24" s="6"/>
      <c r="D24" s="7"/>
      <c r="E24" s="76">
        <f>IFERROR(__xludf.DUMMYFUNCTION("+E23+1"),9.0)</f>
        <v>9</v>
      </c>
      <c r="F24" s="77" t="s">
        <v>366</v>
      </c>
      <c r="G24" s="78">
        <v>196050.0</v>
      </c>
      <c r="H24" s="78">
        <v>0.0</v>
      </c>
      <c r="I24" s="78">
        <f>IFERROR(__xludf.DUMMYFUNCTION("+G24-H24"),196050.0)</f>
        <v>196050</v>
      </c>
      <c r="J24" s="78">
        <v>0.0</v>
      </c>
      <c r="K24" s="78">
        <f>IFERROR(__xludf.DUMMYFUNCTION("+I24+J24"),196050.0)</f>
        <v>196050</v>
      </c>
      <c r="L24" s="79">
        <f>IFERROR(__xludf.DUMMYFUNCTION("+K24/$K$190"),0.01410431654676259)</f>
        <v>0.01410431655</v>
      </c>
      <c r="M24" s="78">
        <f>IFERROR(__xludf.DUMMYFUNCTION("+K24/$T$9"),2.384253347440622)</f>
        <v>2.384253347</v>
      </c>
      <c r="N24" s="80">
        <f>IFERROR(__xludf.DUMMYFUNCTION("+K24-SUM(O24:AL24)"),191203.0)</f>
        <v>191203</v>
      </c>
      <c r="O24" s="81">
        <v>0.0</v>
      </c>
      <c r="P24" s="88">
        <v>0.0</v>
      </c>
      <c r="Q24" s="89">
        <v>0.0</v>
      </c>
      <c r="R24" s="88">
        <v>0.0</v>
      </c>
      <c r="S24" s="89">
        <v>0.0</v>
      </c>
      <c r="T24" s="89">
        <v>0.0</v>
      </c>
      <c r="U24" s="88">
        <f>1550+0-77.5</f>
        <v>1472.5</v>
      </c>
      <c r="V24" s="88">
        <f>3297+77.5-242.35</f>
        <v>3132.15</v>
      </c>
      <c r="W24" s="89">
        <v>0.0</v>
      </c>
      <c r="X24" s="89">
        <v>0.0</v>
      </c>
      <c r="Y24" s="89">
        <v>0.0</v>
      </c>
      <c r="Z24" s="89">
        <v>0.0</v>
      </c>
      <c r="AA24" s="89">
        <v>0.0</v>
      </c>
      <c r="AB24" s="89">
        <v>0.0</v>
      </c>
      <c r="AC24" s="89">
        <v>0.0</v>
      </c>
      <c r="AD24" s="89">
        <v>0.0</v>
      </c>
      <c r="AE24" s="89">
        <v>0.0</v>
      </c>
      <c r="AF24" s="89">
        <v>0.0</v>
      </c>
      <c r="AG24" s="89">
        <v>0.0</v>
      </c>
      <c r="AH24" s="89">
        <v>0.0</v>
      </c>
      <c r="AI24" s="89">
        <v>0.0</v>
      </c>
      <c r="AJ24" s="89">
        <v>0.0</v>
      </c>
      <c r="AK24" s="90">
        <v>0.0</v>
      </c>
      <c r="AL24" s="91">
        <v>242.35</v>
      </c>
      <c r="AM24" s="85">
        <f t="shared" si="1"/>
        <v>4847</v>
      </c>
      <c r="AN24" s="86">
        <f t="shared" si="2"/>
        <v>0.02348712063</v>
      </c>
      <c r="AO24" s="13"/>
    </row>
    <row r="25" ht="30.0" customHeight="1">
      <c r="A25" s="4" t="str">
        <f>IFERROR(VLOOKUP(C25,'Product List'!$A$2:$C198,2,FALSE),"")</f>
        <v/>
      </c>
      <c r="B25" s="5" t="str">
        <f>IFERROR(VLOOKUP(C25,'Product List'!$A$2:$C198,3,FALSE),"")</f>
        <v/>
      </c>
      <c r="C25" s="6"/>
      <c r="D25" s="7"/>
      <c r="E25" s="76">
        <f>IFERROR(__xludf.DUMMYFUNCTION("+E24+1"),10.0)</f>
        <v>10</v>
      </c>
      <c r="F25" s="77" t="s">
        <v>367</v>
      </c>
      <c r="G25" s="78">
        <v>170000.0</v>
      </c>
      <c r="H25" s="78">
        <v>0.0</v>
      </c>
      <c r="I25" s="78">
        <f>IFERROR(__xludf.DUMMYFUNCTION("+G25-H25"),170000.0)</f>
        <v>170000</v>
      </c>
      <c r="J25" s="78">
        <v>0.0</v>
      </c>
      <c r="K25" s="78">
        <f>IFERROR(__xludf.DUMMYFUNCTION("+I25+J25"),170000.0)</f>
        <v>170000</v>
      </c>
      <c r="L25" s="79">
        <f>IFERROR(__xludf.DUMMYFUNCTION("+K25/$K$190"),0.01223021582733813)</f>
        <v>0.01223021583</v>
      </c>
      <c r="M25" s="78">
        <f>IFERROR(__xludf.DUMMYFUNCTION("+K25/$T$9"),2.0674474321086747)</f>
        <v>2.067447432</v>
      </c>
      <c r="N25" s="80">
        <f>IFERROR(__xludf.DUMMYFUNCTION("+K25-SUM(O25:AL25)"),51617.369999999995)</f>
        <v>51617.37</v>
      </c>
      <c r="O25" s="81">
        <v>0.0</v>
      </c>
      <c r="P25" s="88">
        <v>0.0</v>
      </c>
      <c r="Q25" s="89">
        <v>0.0</v>
      </c>
      <c r="R25" s="88">
        <v>0.0</v>
      </c>
      <c r="S25" s="89">
        <v>0.0</v>
      </c>
      <c r="T25" s="89">
        <v>0.0</v>
      </c>
      <c r="U25" s="88">
        <f>118382.63+0-5919.14</f>
        <v>112463.49</v>
      </c>
      <c r="V25" s="89">
        <v>0.0</v>
      </c>
      <c r="W25" s="89">
        <v>0.0</v>
      </c>
      <c r="X25" s="89">
        <v>0.0</v>
      </c>
      <c r="Y25" s="89">
        <v>0.0</v>
      </c>
      <c r="Z25" s="89">
        <v>0.0</v>
      </c>
      <c r="AA25" s="89">
        <v>0.0</v>
      </c>
      <c r="AB25" s="89">
        <v>0.0</v>
      </c>
      <c r="AC25" s="89">
        <v>0.0</v>
      </c>
      <c r="AD25" s="89">
        <v>0.0</v>
      </c>
      <c r="AE25" s="89">
        <v>0.0</v>
      </c>
      <c r="AF25" s="89">
        <v>0.0</v>
      </c>
      <c r="AG25" s="89">
        <v>0.0</v>
      </c>
      <c r="AH25" s="89">
        <v>0.0</v>
      </c>
      <c r="AI25" s="89">
        <v>0.0</v>
      </c>
      <c r="AJ25" s="89">
        <v>0.0</v>
      </c>
      <c r="AK25" s="90">
        <v>0.0</v>
      </c>
      <c r="AL25" s="91">
        <v>5919.14</v>
      </c>
      <c r="AM25" s="85">
        <f t="shared" si="1"/>
        <v>118382.63</v>
      </c>
      <c r="AN25" s="86">
        <f t="shared" si="2"/>
        <v>0.6615499412</v>
      </c>
      <c r="AO25" s="13"/>
    </row>
    <row r="26" ht="30.0" customHeight="1">
      <c r="A26" s="4" t="str">
        <f>IFERROR(VLOOKUP(C26,'Product List'!$A$2:$C198,2,FALSE),"")</f>
        <v/>
      </c>
      <c r="B26" s="5" t="str">
        <f>IFERROR(VLOOKUP(C26,'Product List'!$A$2:$C198,3,FALSE),"")</f>
        <v/>
      </c>
      <c r="C26" s="6"/>
      <c r="D26" s="7"/>
      <c r="E26" s="76">
        <f>IFERROR(__xludf.DUMMYFUNCTION("+E25+1"),11.0)</f>
        <v>11</v>
      </c>
      <c r="F26" s="77" t="s">
        <v>368</v>
      </c>
      <c r="G26" s="78">
        <v>95488.0</v>
      </c>
      <c r="H26" s="78">
        <v>0.0</v>
      </c>
      <c r="I26" s="78">
        <f>IFERROR(__xludf.DUMMYFUNCTION("+G26-H26"),95488.0)</f>
        <v>95488</v>
      </c>
      <c r="J26" s="78">
        <v>0.0</v>
      </c>
      <c r="K26" s="78">
        <f>IFERROR(__xludf.DUMMYFUNCTION("+I26+J26"),95488.0)</f>
        <v>95488</v>
      </c>
      <c r="L26" s="79">
        <f>IFERROR(__xludf.DUMMYFUNCTION("+K26/$K$190"),0.006869640287769784)</f>
        <v>0.006869640288</v>
      </c>
      <c r="M26" s="78">
        <f>IFERROR(__xludf.DUMMYFUNCTION("+K26/$T$9"),1.1612730611599595)</f>
        <v>1.161273061</v>
      </c>
      <c r="N26" s="80">
        <f>IFERROR(__xludf.DUMMYFUNCTION("+K26-SUM(O26:AL26)"),42594.420000000006)</f>
        <v>42594.42</v>
      </c>
      <c r="O26" s="81">
        <v>0.0</v>
      </c>
      <c r="P26" s="88">
        <v>0.0</v>
      </c>
      <c r="Q26" s="89">
        <v>0.0</v>
      </c>
      <c r="R26" s="88">
        <v>0.0</v>
      </c>
      <c r="S26" s="89">
        <v>0.0</v>
      </c>
      <c r="T26" s="89">
        <v>0.0</v>
      </c>
      <c r="U26" s="88">
        <v>44077.99</v>
      </c>
      <c r="V26" s="88">
        <f>8815.59+0-440.78</f>
        <v>8374.81</v>
      </c>
      <c r="W26" s="89">
        <v>0.0</v>
      </c>
      <c r="X26" s="89">
        <v>0.0</v>
      </c>
      <c r="Y26" s="89">
        <v>0.0</v>
      </c>
      <c r="Z26" s="89">
        <v>0.0</v>
      </c>
      <c r="AA26" s="89">
        <v>0.0</v>
      </c>
      <c r="AB26" s="89">
        <v>0.0</v>
      </c>
      <c r="AC26" s="89">
        <v>0.0</v>
      </c>
      <c r="AD26" s="89">
        <v>0.0</v>
      </c>
      <c r="AE26" s="89">
        <v>0.0</v>
      </c>
      <c r="AF26" s="89">
        <v>0.0</v>
      </c>
      <c r="AG26" s="89">
        <v>0.0</v>
      </c>
      <c r="AH26" s="89">
        <v>0.0</v>
      </c>
      <c r="AI26" s="89">
        <v>0.0</v>
      </c>
      <c r="AJ26" s="89">
        <v>0.0</v>
      </c>
      <c r="AK26" s="90">
        <v>0.0</v>
      </c>
      <c r="AL26" s="91">
        <v>440.78</v>
      </c>
      <c r="AM26" s="85">
        <f t="shared" si="1"/>
        <v>52893.58</v>
      </c>
      <c r="AN26" s="86">
        <f t="shared" si="2"/>
        <v>0.5493130027</v>
      </c>
      <c r="AO26" s="13"/>
    </row>
    <row r="27" ht="30.0" customHeight="1">
      <c r="A27" s="4" t="str">
        <f>IFERROR(VLOOKUP(C27,'Product List'!$A$2:$C198,2,FALSE),"")</f>
        <v/>
      </c>
      <c r="B27" s="5" t="str">
        <f>IFERROR(VLOOKUP(C27,'Product List'!$A$2:$C198,3,FALSE),"")</f>
        <v/>
      </c>
      <c r="C27" s="6"/>
      <c r="D27" s="7"/>
      <c r="E27" s="76">
        <f>IFERROR(__xludf.DUMMYFUNCTION("+E26+1"),12.0)</f>
        <v>12</v>
      </c>
      <c r="F27" s="77" t="s">
        <v>54</v>
      </c>
      <c r="G27" s="78">
        <v>255500.0</v>
      </c>
      <c r="H27" s="78">
        <v>0.0</v>
      </c>
      <c r="I27" s="78">
        <f>IFERROR(__xludf.DUMMYFUNCTION("+G27-H27"),255500.0)</f>
        <v>255500</v>
      </c>
      <c r="J27" s="78">
        <v>0.0</v>
      </c>
      <c r="K27" s="78">
        <f>IFERROR(__xludf.DUMMYFUNCTION("+I27+J27"),255500.0)</f>
        <v>255500</v>
      </c>
      <c r="L27" s="79">
        <f>IFERROR(__xludf.DUMMYFUNCTION("+K27/$K$190"),0.018381294964028776)</f>
        <v>0.01838129496</v>
      </c>
      <c r="M27" s="78">
        <f>IFERROR(__xludf.DUMMYFUNCTION("+K27/$T$9"),3.1072518759045082)</f>
        <v>3.107251876</v>
      </c>
      <c r="N27" s="80">
        <f>IFERROR(__xludf.DUMMYFUNCTION("+K27-SUM(O27:AL27)"),255500.0)</f>
        <v>255500</v>
      </c>
      <c r="O27" s="81">
        <v>0.0</v>
      </c>
      <c r="P27" s="88">
        <v>0.0</v>
      </c>
      <c r="Q27" s="89">
        <v>0.0</v>
      </c>
      <c r="R27" s="88">
        <v>0.0</v>
      </c>
      <c r="S27" s="89">
        <v>0.0</v>
      </c>
      <c r="T27" s="89">
        <v>0.0</v>
      </c>
      <c r="U27" s="89">
        <v>0.0</v>
      </c>
      <c r="V27" s="89">
        <v>0.0</v>
      </c>
      <c r="W27" s="89">
        <v>0.0</v>
      </c>
      <c r="X27" s="89">
        <v>0.0</v>
      </c>
      <c r="Y27" s="89">
        <v>0.0</v>
      </c>
      <c r="Z27" s="89">
        <v>0.0</v>
      </c>
      <c r="AA27" s="89">
        <v>0.0</v>
      </c>
      <c r="AB27" s="89">
        <v>0.0</v>
      </c>
      <c r="AC27" s="89">
        <v>0.0</v>
      </c>
      <c r="AD27" s="89">
        <v>0.0</v>
      </c>
      <c r="AE27" s="89">
        <v>0.0</v>
      </c>
      <c r="AF27" s="89">
        <v>0.0</v>
      </c>
      <c r="AG27" s="89">
        <v>0.0</v>
      </c>
      <c r="AH27" s="89">
        <v>0.0</v>
      </c>
      <c r="AI27" s="89">
        <v>0.0</v>
      </c>
      <c r="AJ27" s="89">
        <v>0.0</v>
      </c>
      <c r="AK27" s="90">
        <v>0.0</v>
      </c>
      <c r="AL27" s="85"/>
      <c r="AM27" s="85">
        <f t="shared" si="1"/>
        <v>0</v>
      </c>
      <c r="AN27" s="86">
        <f t="shared" si="2"/>
        <v>0</v>
      </c>
      <c r="AO27" s="13"/>
    </row>
    <row r="28" ht="30.0" customHeight="1">
      <c r="A28" s="4" t="str">
        <f>IFERROR(VLOOKUP(C28,'Product List'!$A$2:$C198,2,FALSE),"")</f>
        <v/>
      </c>
      <c r="B28" s="5" t="str">
        <f>IFERROR(VLOOKUP(C28,'Product List'!$A$2:$C198,3,FALSE),"")</f>
        <v/>
      </c>
      <c r="C28" s="6"/>
      <c r="D28" s="7"/>
      <c r="E28" s="76">
        <f>IFERROR(__xludf.DUMMYFUNCTION("+E27+1"),13.0)</f>
        <v>13</v>
      </c>
      <c r="F28" s="77" t="s">
        <v>369</v>
      </c>
      <c r="G28" s="78">
        <v>18575.0</v>
      </c>
      <c r="H28" s="78">
        <v>0.0</v>
      </c>
      <c r="I28" s="78">
        <f>IFERROR(__xludf.DUMMYFUNCTION("+G28-H28"),18575.0)</f>
        <v>18575</v>
      </c>
      <c r="J28" s="78">
        <v>0.0</v>
      </c>
      <c r="K28" s="78">
        <f>IFERROR(__xludf.DUMMYFUNCTION("+I28+J28"),18575.0)</f>
        <v>18575</v>
      </c>
      <c r="L28" s="79">
        <f>IFERROR(__xludf.DUMMYFUNCTION("+K28/$K$190"),0.0013363309352517985)</f>
        <v>0.001336330935</v>
      </c>
      <c r="M28" s="78">
        <f>IFERROR(__xludf.DUMMYFUNCTION("+K28/$T$9"),0.2258990355965802)</f>
        <v>0.2258990356</v>
      </c>
      <c r="N28" s="80">
        <f>IFERROR(__xludf.DUMMYFUNCTION("+K28-SUM(O28:AL28)"),18575.0)</f>
        <v>18575</v>
      </c>
      <c r="O28" s="81">
        <v>0.0</v>
      </c>
      <c r="P28" s="88">
        <v>0.0</v>
      </c>
      <c r="Q28" s="89">
        <v>0.0</v>
      </c>
      <c r="R28" s="88">
        <v>0.0</v>
      </c>
      <c r="S28" s="89">
        <v>0.0</v>
      </c>
      <c r="T28" s="89">
        <v>0.0</v>
      </c>
      <c r="U28" s="89">
        <v>0.0</v>
      </c>
      <c r="V28" s="88">
        <v>0.0</v>
      </c>
      <c r="W28" s="89">
        <v>0.0</v>
      </c>
      <c r="X28" s="89">
        <v>0.0</v>
      </c>
      <c r="Y28" s="89">
        <v>0.0</v>
      </c>
      <c r="Z28" s="89">
        <v>0.0</v>
      </c>
      <c r="AA28" s="89">
        <v>0.0</v>
      </c>
      <c r="AB28" s="89">
        <v>0.0</v>
      </c>
      <c r="AC28" s="89">
        <v>0.0</v>
      </c>
      <c r="AD28" s="89">
        <v>0.0</v>
      </c>
      <c r="AE28" s="89">
        <v>0.0</v>
      </c>
      <c r="AF28" s="89">
        <v>0.0</v>
      </c>
      <c r="AG28" s="89">
        <v>0.0</v>
      </c>
      <c r="AH28" s="89">
        <v>0.0</v>
      </c>
      <c r="AI28" s="89">
        <v>0.0</v>
      </c>
      <c r="AJ28" s="89">
        <v>0.0</v>
      </c>
      <c r="AK28" s="90">
        <v>0.0</v>
      </c>
      <c r="AL28" s="85"/>
      <c r="AM28" s="85">
        <f t="shared" si="1"/>
        <v>0</v>
      </c>
      <c r="AN28" s="86">
        <f t="shared" si="2"/>
        <v>0</v>
      </c>
      <c r="AO28" s="13"/>
    </row>
    <row r="29" ht="30.0" customHeight="1">
      <c r="A29" s="4" t="str">
        <f>IFERROR(VLOOKUP(C29,'Product List'!$A$2:$C198,2,FALSE),"")</f>
        <v/>
      </c>
      <c r="B29" s="5" t="str">
        <f>IFERROR(VLOOKUP(C29,'Product List'!$A$2:$C198,3,FALSE),"")</f>
        <v/>
      </c>
      <c r="C29" s="6"/>
      <c r="D29" s="7"/>
      <c r="E29" s="76">
        <f>IFERROR(__xludf.DUMMYFUNCTION("+E28+1"),14.0)</f>
        <v>14</v>
      </c>
      <c r="F29" s="77" t="s">
        <v>370</v>
      </c>
      <c r="G29" s="78">
        <v>1125000.0</v>
      </c>
      <c r="H29" s="78">
        <v>338750.0</v>
      </c>
      <c r="I29" s="78">
        <f>IFERROR(__xludf.DUMMYFUNCTION("+G29-H29"),786250.0)</f>
        <v>786250</v>
      </c>
      <c r="J29" s="78">
        <v>0.0</v>
      </c>
      <c r="K29" s="78">
        <f>IFERROR(__xludf.DUMMYFUNCTION("+I29+J29"),786250.0)</f>
        <v>786250</v>
      </c>
      <c r="L29" s="79">
        <f>IFERROR(__xludf.DUMMYFUNCTION("+K29/$K$190"),0.05656474820143885)</f>
        <v>0.0565647482</v>
      </c>
      <c r="M29" s="78">
        <f>IFERROR(__xludf.DUMMYFUNCTION("+K29/$T$9"),9.561944373502621)</f>
        <v>9.561944374</v>
      </c>
      <c r="N29" s="80">
        <f>IFERROR(__xludf.DUMMYFUNCTION("+K29-SUM(O29:AL29)"),220544.71999999997)</f>
        <v>220544.72</v>
      </c>
      <c r="O29" s="81">
        <v>0.0</v>
      </c>
      <c r="P29" s="88">
        <f>62500-3125</f>
        <v>59375</v>
      </c>
      <c r="Q29" s="89">
        <v>106875.0</v>
      </c>
      <c r="R29" s="88">
        <v>106875.0</v>
      </c>
      <c r="S29" s="89">
        <v>0.0</v>
      </c>
      <c r="T29" s="88">
        <f>90000-4500</f>
        <v>85500</v>
      </c>
      <c r="U29" s="88">
        <v>120705.28</v>
      </c>
      <c r="V29" s="88">
        <f>56250+30125-32881.25</f>
        <v>53493.75</v>
      </c>
      <c r="W29" s="89">
        <v>0.0</v>
      </c>
      <c r="X29" s="89">
        <v>0.0</v>
      </c>
      <c r="Y29" s="89">
        <v>0.0</v>
      </c>
      <c r="Z29" s="89">
        <v>0.0</v>
      </c>
      <c r="AA29" s="89">
        <v>0.0</v>
      </c>
      <c r="AB29" s="89">
        <v>0.0</v>
      </c>
      <c r="AC29" s="89">
        <v>0.0</v>
      </c>
      <c r="AD29" s="89">
        <v>0.0</v>
      </c>
      <c r="AE29" s="89">
        <v>0.0</v>
      </c>
      <c r="AF29" s="89">
        <v>0.0</v>
      </c>
      <c r="AG29" s="89">
        <v>0.0</v>
      </c>
      <c r="AH29" s="89">
        <v>0.0</v>
      </c>
      <c r="AI29" s="89">
        <v>0.0</v>
      </c>
      <c r="AJ29" s="89">
        <v>0.0</v>
      </c>
      <c r="AK29" s="90">
        <v>0.0</v>
      </c>
      <c r="AL29" s="91">
        <v>32881.25</v>
      </c>
      <c r="AM29" s="85">
        <f t="shared" si="1"/>
        <v>565705.28</v>
      </c>
      <c r="AN29" s="86">
        <f t="shared" si="2"/>
        <v>0.6776776216</v>
      </c>
      <c r="AO29" s="13"/>
    </row>
    <row r="30" ht="30.0" customHeight="1">
      <c r="A30" s="4" t="str">
        <f>IFERROR(VLOOKUP(C30,'Product List'!$A$2:$C198,2,FALSE),"")</f>
        <v/>
      </c>
      <c r="B30" s="5" t="str">
        <f>IFERROR(VLOOKUP(C30,'Product List'!$A$2:$C198,3,FALSE),"")</f>
        <v/>
      </c>
      <c r="C30" s="6"/>
      <c r="D30" s="7"/>
      <c r="E30" s="76">
        <f>IFERROR(__xludf.DUMMYFUNCTION("+E29+1"),15.0)</f>
        <v>15</v>
      </c>
      <c r="F30" s="77" t="s">
        <v>371</v>
      </c>
      <c r="G30" s="78">
        <v>1395000.0</v>
      </c>
      <c r="H30" s="78">
        <v>150000.0</v>
      </c>
      <c r="I30" s="78">
        <f>IFERROR(__xludf.DUMMYFUNCTION("+G30-H30"),1245000.0)</f>
        <v>1245000</v>
      </c>
      <c r="J30" s="78">
        <v>0.0</v>
      </c>
      <c r="K30" s="78">
        <f>IFERROR(__xludf.DUMMYFUNCTION("+I30+J30"),1245000.0)</f>
        <v>1245000</v>
      </c>
      <c r="L30" s="79">
        <f>IFERROR(__xludf.DUMMYFUNCTION("+K30/$K$190"),0.08956834532374101)</f>
        <v>0.08956834532</v>
      </c>
      <c r="M30" s="78">
        <f>IFERROR(__xludf.DUMMYFUNCTION("+K30/$T$9"),15.141012076325294)</f>
        <v>15.14101208</v>
      </c>
      <c r="N30" s="80">
        <f>IFERROR(__xludf.DUMMYFUNCTION("+K30-SUM(O30:AL30)"),709376.0)</f>
        <v>709376</v>
      </c>
      <c r="O30" s="81">
        <v>0.0</v>
      </c>
      <c r="P30" s="88">
        <v>0.0</v>
      </c>
      <c r="Q30" s="89">
        <v>114000.0</v>
      </c>
      <c r="R30" s="88">
        <v>0.0</v>
      </c>
      <c r="S30" s="89">
        <v>0.0</v>
      </c>
      <c r="T30" s="89">
        <v>0.0</v>
      </c>
      <c r="U30" s="89">
        <v>0.0</v>
      </c>
      <c r="V30" s="88">
        <f>415624+6000-26781.2</f>
        <v>394842.8</v>
      </c>
      <c r="W30" s="89">
        <v>0.0</v>
      </c>
      <c r="X30" s="89">
        <v>0.0</v>
      </c>
      <c r="Y30" s="89">
        <v>0.0</v>
      </c>
      <c r="Z30" s="89">
        <v>0.0</v>
      </c>
      <c r="AA30" s="89">
        <v>0.0</v>
      </c>
      <c r="AB30" s="89">
        <v>0.0</v>
      </c>
      <c r="AC30" s="89">
        <v>0.0</v>
      </c>
      <c r="AD30" s="89">
        <v>0.0</v>
      </c>
      <c r="AE30" s="89">
        <v>0.0</v>
      </c>
      <c r="AF30" s="89">
        <v>0.0</v>
      </c>
      <c r="AG30" s="89">
        <v>0.0</v>
      </c>
      <c r="AH30" s="89">
        <v>0.0</v>
      </c>
      <c r="AI30" s="89">
        <v>0.0</v>
      </c>
      <c r="AJ30" s="89">
        <v>0.0</v>
      </c>
      <c r="AK30" s="90">
        <v>0.0</v>
      </c>
      <c r="AL30" s="91">
        <v>26781.2</v>
      </c>
      <c r="AM30" s="85">
        <f t="shared" si="1"/>
        <v>535624</v>
      </c>
      <c r="AN30" s="86">
        <f t="shared" si="2"/>
        <v>0.4087090763</v>
      </c>
      <c r="AO30" s="13"/>
    </row>
    <row r="31" ht="30.0" customHeight="1">
      <c r="A31" s="4" t="str">
        <f>IFERROR(VLOOKUP(C31,'Product List'!$A$2:$C198,2,FALSE),"")</f>
        <v/>
      </c>
      <c r="B31" s="5" t="str">
        <f>IFERROR(VLOOKUP(C31,'Product List'!$A$2:$C198,3,FALSE),"")</f>
        <v/>
      </c>
      <c r="C31" s="6"/>
      <c r="D31" s="7"/>
      <c r="E31" s="76">
        <f>IFERROR(__xludf.DUMMYFUNCTION("+E30+1"),16.0)</f>
        <v>16</v>
      </c>
      <c r="F31" s="77" t="s">
        <v>372</v>
      </c>
      <c r="G31" s="78">
        <v>1186352.0</v>
      </c>
      <c r="H31" s="78">
        <v>400000.0</v>
      </c>
      <c r="I31" s="78">
        <f>IFERROR(__xludf.DUMMYFUNCTION("+G31-H31"),786352.0)</f>
        <v>786352</v>
      </c>
      <c r="J31" s="78">
        <v>0.0</v>
      </c>
      <c r="K31" s="78">
        <f>IFERROR(__xludf.DUMMYFUNCTION("+I31+J31"),786352.0)</f>
        <v>786352</v>
      </c>
      <c r="L31" s="79">
        <f>IFERROR(__xludf.DUMMYFUNCTION("+K31/$K$190"),0.05657208633093525)</f>
        <v>0.05657208633</v>
      </c>
      <c r="M31" s="78">
        <f>IFERROR(__xludf.DUMMYFUNCTION("+K31/$T$9"),9.563184841961887)</f>
        <v>9.563184842</v>
      </c>
      <c r="N31" s="80">
        <f>IFERROR(__xludf.DUMMYFUNCTION("+K31-SUM(O31:AL31)"),445584.51)</f>
        <v>445584.51</v>
      </c>
      <c r="O31" s="81">
        <v>0.0</v>
      </c>
      <c r="P31" s="88">
        <v>0.0</v>
      </c>
      <c r="Q31" s="89">
        <v>0.0</v>
      </c>
      <c r="R31" s="88">
        <v>0.0</v>
      </c>
      <c r="S31" s="89">
        <v>0.0</v>
      </c>
      <c r="T31" s="89">
        <v>0.0</v>
      </c>
      <c r="U31" s="89">
        <v>0.0</v>
      </c>
      <c r="V31" s="88">
        <f>340767.49+0-17038.37</f>
        <v>323729.12</v>
      </c>
      <c r="W31" s="89">
        <v>0.0</v>
      </c>
      <c r="X31" s="89">
        <v>0.0</v>
      </c>
      <c r="Y31" s="89">
        <v>0.0</v>
      </c>
      <c r="Z31" s="89">
        <v>0.0</v>
      </c>
      <c r="AA31" s="89">
        <v>0.0</v>
      </c>
      <c r="AB31" s="89">
        <v>0.0</v>
      </c>
      <c r="AC31" s="89">
        <v>0.0</v>
      </c>
      <c r="AD31" s="89">
        <v>0.0</v>
      </c>
      <c r="AE31" s="89">
        <v>0.0</v>
      </c>
      <c r="AF31" s="89">
        <v>0.0</v>
      </c>
      <c r="AG31" s="89">
        <v>0.0</v>
      </c>
      <c r="AH31" s="89">
        <v>0.0</v>
      </c>
      <c r="AI31" s="89">
        <v>0.0</v>
      </c>
      <c r="AJ31" s="89">
        <v>0.0</v>
      </c>
      <c r="AK31" s="90">
        <v>0.0</v>
      </c>
      <c r="AL31" s="91">
        <v>17038.37</v>
      </c>
      <c r="AM31" s="85">
        <f t="shared" si="1"/>
        <v>340767.49</v>
      </c>
      <c r="AN31" s="86">
        <f t="shared" si="2"/>
        <v>0.4116847417</v>
      </c>
      <c r="AO31" s="13"/>
    </row>
    <row r="32" ht="30.0" customHeight="1">
      <c r="A32" s="4" t="str">
        <f>IFERROR(VLOOKUP(C32,'Product List'!$A$2:$C198,2,FALSE),"")</f>
        <v/>
      </c>
      <c r="B32" s="5" t="str">
        <f>IFERROR(VLOOKUP(C32,'Product List'!$A$2:$C198,3,FALSE),"")</f>
        <v/>
      </c>
      <c r="C32" s="6"/>
      <c r="D32" s="7"/>
      <c r="E32" s="76">
        <f>IFERROR(__xludf.DUMMYFUNCTION("+E31+1"),17.0)</f>
        <v>17</v>
      </c>
      <c r="F32" s="77" t="s">
        <v>373</v>
      </c>
      <c r="G32" s="78">
        <v>156271.0</v>
      </c>
      <c r="H32" s="78">
        <v>0.0</v>
      </c>
      <c r="I32" s="78">
        <f>IFERROR(__xludf.DUMMYFUNCTION("+G32-H32"),156271.0)</f>
        <v>156271</v>
      </c>
      <c r="J32" s="92">
        <v>30018.16</v>
      </c>
      <c r="K32" s="78">
        <f>IFERROR(__xludf.DUMMYFUNCTION("+I32+J32"),186289.16)</f>
        <v>186289.16</v>
      </c>
      <c r="L32" s="79">
        <f>IFERROR(__xludf.DUMMYFUNCTION("+K32/$K$190"),0.013402097841726619)</f>
        <v>0.01340209784</v>
      </c>
      <c r="M32" s="78">
        <f>IFERROR(__xludf.DUMMYFUNCTION("+K32/$T$9"),2.265547326304012)</f>
        <v>2.265547326</v>
      </c>
      <c r="N32" s="80">
        <f>IFERROR(__xludf.DUMMYFUNCTION("+K32-SUM(O32:AL32)"),0.0)</f>
        <v>0</v>
      </c>
      <c r="O32" s="81">
        <v>0.0</v>
      </c>
      <c r="P32" s="88">
        <v>0.0</v>
      </c>
      <c r="Q32" s="89">
        <v>0.0</v>
      </c>
      <c r="R32" s="88">
        <v>41478.340000000004</v>
      </c>
      <c r="S32" s="89">
        <v>0.0</v>
      </c>
      <c r="T32" s="89">
        <v>0.0</v>
      </c>
      <c r="U32" s="88">
        <v>59452.5</v>
      </c>
      <c r="V32" s="88">
        <f>80046.18+5312.15-9314.46</f>
        <v>76043.87</v>
      </c>
      <c r="W32" s="89">
        <v>0.0</v>
      </c>
      <c r="X32" s="89">
        <v>0.0</v>
      </c>
      <c r="Y32" s="89">
        <v>0.0</v>
      </c>
      <c r="Z32" s="89">
        <v>0.0</v>
      </c>
      <c r="AA32" s="89">
        <v>0.0</v>
      </c>
      <c r="AB32" s="89">
        <v>0.0</v>
      </c>
      <c r="AC32" s="89">
        <v>0.0</v>
      </c>
      <c r="AD32" s="89">
        <v>0.0</v>
      </c>
      <c r="AE32" s="89">
        <v>0.0</v>
      </c>
      <c r="AF32" s="89">
        <v>0.0</v>
      </c>
      <c r="AG32" s="89">
        <v>0.0</v>
      </c>
      <c r="AH32" s="89">
        <v>0.0</v>
      </c>
      <c r="AI32" s="89">
        <v>0.0</v>
      </c>
      <c r="AJ32" s="89">
        <v>0.0</v>
      </c>
      <c r="AK32" s="90">
        <v>0.0</v>
      </c>
      <c r="AL32" s="91">
        <v>9314.45</v>
      </c>
      <c r="AM32" s="85">
        <f t="shared" si="1"/>
        <v>186289.16</v>
      </c>
      <c r="AN32" s="86">
        <f t="shared" si="2"/>
        <v>0.9500000429</v>
      </c>
      <c r="AO32" s="13"/>
    </row>
    <row r="33" ht="30.0" customHeight="1">
      <c r="A33" s="4" t="str">
        <f>IFERROR(VLOOKUP(C33,'Product List'!$A$2:$C198,2,FALSE),"")</f>
        <v/>
      </c>
      <c r="B33" s="5" t="str">
        <f>IFERROR(VLOOKUP(C33,'Product List'!$A$2:$C198,3,FALSE),"")</f>
        <v/>
      </c>
      <c r="C33" s="6"/>
      <c r="D33" s="7"/>
      <c r="E33" s="76">
        <f>IFERROR(__xludf.DUMMYFUNCTION("+E32+1"),18.0)</f>
        <v>18</v>
      </c>
      <c r="F33" s="77" t="s">
        <v>374</v>
      </c>
      <c r="G33" s="78">
        <v>10000.0</v>
      </c>
      <c r="H33" s="78">
        <v>0.0</v>
      </c>
      <c r="I33" s="78">
        <f>IFERROR(__xludf.DUMMYFUNCTION("+G33-H33"),10000.0)</f>
        <v>10000</v>
      </c>
      <c r="J33" s="78">
        <v>0.0</v>
      </c>
      <c r="K33" s="78">
        <f>IFERROR(__xludf.DUMMYFUNCTION("+I33+J33"),10000.0)</f>
        <v>10000</v>
      </c>
      <c r="L33" s="79">
        <f>IFERROR(__xludf.DUMMYFUNCTION("+K33/$K$190"),7.194244604316547E-4)</f>
        <v>0.0007194244604</v>
      </c>
      <c r="M33" s="78">
        <f>IFERROR(__xludf.DUMMYFUNCTION("+K33/$T$9"),0.12161455482992205)</f>
        <v>0.1216145548</v>
      </c>
      <c r="N33" s="80">
        <f>IFERROR(__xludf.DUMMYFUNCTION("+K33-SUM(O33:AL33)"),10000.0)</f>
        <v>10000</v>
      </c>
      <c r="O33" s="81">
        <v>0.0</v>
      </c>
      <c r="P33" s="88">
        <v>0.0</v>
      </c>
      <c r="Q33" s="89">
        <v>0.0</v>
      </c>
      <c r="R33" s="88">
        <v>0.0</v>
      </c>
      <c r="S33" s="89">
        <v>0.0</v>
      </c>
      <c r="T33" s="89">
        <v>0.0</v>
      </c>
      <c r="U33" s="89">
        <v>0.0</v>
      </c>
      <c r="V33" s="89">
        <v>0.0</v>
      </c>
      <c r="W33" s="89">
        <v>0.0</v>
      </c>
      <c r="X33" s="89">
        <v>0.0</v>
      </c>
      <c r="Y33" s="89">
        <v>0.0</v>
      </c>
      <c r="Z33" s="89">
        <v>0.0</v>
      </c>
      <c r="AA33" s="89">
        <v>0.0</v>
      </c>
      <c r="AB33" s="89">
        <v>0.0</v>
      </c>
      <c r="AC33" s="89">
        <v>0.0</v>
      </c>
      <c r="AD33" s="89">
        <v>0.0</v>
      </c>
      <c r="AE33" s="89">
        <v>0.0</v>
      </c>
      <c r="AF33" s="89">
        <v>0.0</v>
      </c>
      <c r="AG33" s="89">
        <v>0.0</v>
      </c>
      <c r="AH33" s="89">
        <v>0.0</v>
      </c>
      <c r="AI33" s="89">
        <v>0.0</v>
      </c>
      <c r="AJ33" s="89">
        <v>0.0</v>
      </c>
      <c r="AK33" s="90">
        <v>0.0</v>
      </c>
      <c r="AL33" s="85"/>
      <c r="AM33" s="85">
        <f t="shared" si="1"/>
        <v>0</v>
      </c>
      <c r="AN33" s="86">
        <f t="shared" si="2"/>
        <v>0</v>
      </c>
      <c r="AO33" s="13"/>
    </row>
    <row r="34" ht="30.0" customHeight="1">
      <c r="A34" s="4" t="str">
        <f>IFERROR(VLOOKUP(C34,'Product List'!$A$2:$C198,2,FALSE),"")</f>
        <v/>
      </c>
      <c r="B34" s="5" t="str">
        <f>IFERROR(VLOOKUP(C34,'Product List'!$A$2:$C198,3,FALSE),"")</f>
        <v/>
      </c>
      <c r="C34" s="6"/>
      <c r="D34" s="7"/>
      <c r="E34" s="76">
        <f>IFERROR(__xludf.DUMMYFUNCTION("+E33+1"),19.0)</f>
        <v>19</v>
      </c>
      <c r="F34" s="77" t="s">
        <v>375</v>
      </c>
      <c r="G34" s="78">
        <v>77757.03</v>
      </c>
      <c r="H34" s="78">
        <v>0.0</v>
      </c>
      <c r="I34" s="78">
        <f>IFERROR(__xludf.DUMMYFUNCTION("+G34-H34"),77757.03)</f>
        <v>77757.03</v>
      </c>
      <c r="J34" s="78">
        <v>0.0</v>
      </c>
      <c r="K34" s="78">
        <f>IFERROR(__xludf.DUMMYFUNCTION("+I34+J34"),77757.03)</f>
        <v>77757.03</v>
      </c>
      <c r="L34" s="79">
        <f>IFERROR(__xludf.DUMMYFUNCTION("+K34/$K$190"),0.005594030935251799)</f>
        <v>0.005594030935</v>
      </c>
      <c r="M34" s="78">
        <f>IFERROR(__xludf.DUMMYFUNCTION("+K34/$T$9"),0.9456386588346893)</f>
        <v>0.9456386588</v>
      </c>
      <c r="N34" s="80">
        <f>IFERROR(__xludf.DUMMYFUNCTION("+K34-SUM(O34:AL34)"),22214.96)</f>
        <v>22214.96</v>
      </c>
      <c r="O34" s="81">
        <v>0.0</v>
      </c>
      <c r="P34" s="88">
        <v>0.0</v>
      </c>
      <c r="Q34" s="89">
        <v>0.0</v>
      </c>
      <c r="R34" s="88">
        <v>0.0</v>
      </c>
      <c r="S34" s="89">
        <v>0.0</v>
      </c>
      <c r="T34" s="89">
        <v>0.0</v>
      </c>
      <c r="U34" s="88">
        <f>50542.07+0-2527.1</f>
        <v>48014.97</v>
      </c>
      <c r="V34" s="88">
        <f>5000+2527.1-2777.1</f>
        <v>4750</v>
      </c>
      <c r="W34" s="89">
        <v>0.0</v>
      </c>
      <c r="X34" s="89">
        <v>0.0</v>
      </c>
      <c r="Y34" s="89">
        <v>0.0</v>
      </c>
      <c r="Z34" s="89">
        <v>0.0</v>
      </c>
      <c r="AA34" s="89">
        <v>0.0</v>
      </c>
      <c r="AB34" s="89">
        <v>0.0</v>
      </c>
      <c r="AC34" s="89">
        <v>0.0</v>
      </c>
      <c r="AD34" s="89">
        <v>0.0</v>
      </c>
      <c r="AE34" s="89">
        <v>0.0</v>
      </c>
      <c r="AF34" s="89">
        <v>0.0</v>
      </c>
      <c r="AG34" s="89">
        <v>0.0</v>
      </c>
      <c r="AH34" s="89">
        <v>0.0</v>
      </c>
      <c r="AI34" s="89">
        <v>0.0</v>
      </c>
      <c r="AJ34" s="89">
        <v>0.0</v>
      </c>
      <c r="AK34" s="90">
        <v>0.0</v>
      </c>
      <c r="AL34" s="91">
        <v>2777.1</v>
      </c>
      <c r="AM34" s="85">
        <f t="shared" si="1"/>
        <v>55542.07</v>
      </c>
      <c r="AN34" s="86">
        <f t="shared" si="2"/>
        <v>0.6785877753</v>
      </c>
      <c r="AO34" s="13"/>
    </row>
    <row r="35" ht="30.0" customHeight="1">
      <c r="A35" s="4" t="str">
        <f>IFERROR(VLOOKUP(C35,'Product List'!$A$2:$C198,2,FALSE),"")</f>
        <v/>
      </c>
      <c r="B35" s="5" t="str">
        <f>IFERROR(VLOOKUP(C35,'Product List'!$A$2:$C198,3,FALSE),"")</f>
        <v/>
      </c>
      <c r="C35" s="6"/>
      <c r="D35" s="7"/>
      <c r="E35" s="76">
        <f>IFERROR(__xludf.DUMMYFUNCTION("+E34+1"),20.0)</f>
        <v>20</v>
      </c>
      <c r="F35" s="77" t="s">
        <v>376</v>
      </c>
      <c r="G35" s="78">
        <v>232552.0</v>
      </c>
      <c r="H35" s="78">
        <v>2600.62</v>
      </c>
      <c r="I35" s="78">
        <f>IFERROR(__xludf.DUMMYFUNCTION("+G35-H35"),229951.38)</f>
        <v>229951.38</v>
      </c>
      <c r="J35" s="78">
        <v>0.0</v>
      </c>
      <c r="K35" s="78">
        <f>IFERROR(__xludf.DUMMYFUNCTION("+I35+J35"),229951.38)</f>
        <v>229951.38</v>
      </c>
      <c r="L35" s="79">
        <f>IFERROR(__xludf.DUMMYFUNCTION("+K35/$K$190"),0.01654326474820144)</f>
        <v>0.01654326475</v>
      </c>
      <c r="M35" s="78">
        <f>IFERROR(__xludf.DUMMYFUNCTION("+K35/$T$9"),2.796543471122624)</f>
        <v>2.796543471</v>
      </c>
      <c r="N35" s="80">
        <f>IFERROR(__xludf.DUMMYFUNCTION("+K35-SUM(O35:AL35)"),229814.5)</f>
        <v>229814.5</v>
      </c>
      <c r="O35" s="81">
        <v>0.0</v>
      </c>
      <c r="P35" s="88">
        <v>0.0</v>
      </c>
      <c r="Q35" s="89">
        <v>0.0</v>
      </c>
      <c r="R35" s="88">
        <v>0.0</v>
      </c>
      <c r="S35" s="89">
        <v>0.0</v>
      </c>
      <c r="T35" s="89">
        <v>0.0</v>
      </c>
      <c r="U35" s="89">
        <v>0.0</v>
      </c>
      <c r="V35" s="89">
        <v>0.0</v>
      </c>
      <c r="W35" s="89">
        <v>0.0</v>
      </c>
      <c r="X35" s="89">
        <v>0.0</v>
      </c>
      <c r="Y35" s="89">
        <v>0.0</v>
      </c>
      <c r="Z35" s="89">
        <v>0.0</v>
      </c>
      <c r="AA35" s="89">
        <v>0.0</v>
      </c>
      <c r="AB35" s="89">
        <v>0.0</v>
      </c>
      <c r="AC35" s="89">
        <v>0.0</v>
      </c>
      <c r="AD35" s="89">
        <v>0.0</v>
      </c>
      <c r="AE35" s="89">
        <v>0.0</v>
      </c>
      <c r="AF35" s="89">
        <v>0.0</v>
      </c>
      <c r="AG35" s="89">
        <v>0.0</v>
      </c>
      <c r="AH35" s="89">
        <v>0.0</v>
      </c>
      <c r="AI35" s="89">
        <v>0.0</v>
      </c>
      <c r="AJ35" s="89">
        <v>0.0</v>
      </c>
      <c r="AK35" s="90">
        <v>0.0</v>
      </c>
      <c r="AL35" s="91">
        <v>136.88</v>
      </c>
      <c r="AM35" s="85">
        <f t="shared" si="1"/>
        <v>136.88</v>
      </c>
      <c r="AN35" s="86">
        <f t="shared" si="2"/>
        <v>0</v>
      </c>
      <c r="AO35" s="13"/>
    </row>
    <row r="36" ht="30.0" customHeight="1">
      <c r="A36" s="4" t="str">
        <f>IFERROR(VLOOKUP(C36,'Product List'!$A$2:$C198,2,FALSE),"")</f>
        <v/>
      </c>
      <c r="B36" s="5" t="str">
        <f>IFERROR(VLOOKUP(C36,'Product List'!$A$2:$C198,3,FALSE),"")</f>
        <v/>
      </c>
      <c r="C36" s="6"/>
      <c r="D36" s="7"/>
      <c r="E36" s="76">
        <f>IFERROR(__xludf.DUMMYFUNCTION("+E35+1"),21.0)</f>
        <v>21</v>
      </c>
      <c r="F36" s="77" t="s">
        <v>377</v>
      </c>
      <c r="G36" s="78">
        <v>850750.0</v>
      </c>
      <c r="H36" s="78">
        <v>0.0</v>
      </c>
      <c r="I36" s="78">
        <f>IFERROR(__xludf.DUMMYFUNCTION("+G36-H36"),850750.0)</f>
        <v>850750</v>
      </c>
      <c r="J36" s="78">
        <v>0.0</v>
      </c>
      <c r="K36" s="78">
        <f>IFERROR(__xludf.DUMMYFUNCTION("+I36+J36"),850750.0)</f>
        <v>850750</v>
      </c>
      <c r="L36" s="79">
        <f>IFERROR(__xludf.DUMMYFUNCTION("+K36/$K$190"),0.061205035971223024)</f>
        <v>0.06120503597</v>
      </c>
      <c r="M36" s="78">
        <f>IFERROR(__xludf.DUMMYFUNCTION("+K36/$T$9"),10.346358252155618)</f>
        <v>10.34635825</v>
      </c>
      <c r="N36" s="80">
        <f>IFERROR(__xludf.DUMMYFUNCTION("+K36-SUM(O36:AL36)"),850750.0)</f>
        <v>850750</v>
      </c>
      <c r="O36" s="81">
        <v>0.0</v>
      </c>
      <c r="P36" s="88">
        <v>0.0</v>
      </c>
      <c r="Q36" s="89">
        <v>0.0</v>
      </c>
      <c r="R36" s="88">
        <v>0.0</v>
      </c>
      <c r="S36" s="89">
        <v>0.0</v>
      </c>
      <c r="T36" s="89">
        <v>0.0</v>
      </c>
      <c r="U36" s="89">
        <v>0.0</v>
      </c>
      <c r="V36" s="89">
        <v>0.0</v>
      </c>
      <c r="W36" s="89">
        <v>0.0</v>
      </c>
      <c r="X36" s="89">
        <v>0.0</v>
      </c>
      <c r="Y36" s="89">
        <v>0.0</v>
      </c>
      <c r="Z36" s="89">
        <v>0.0</v>
      </c>
      <c r="AA36" s="89">
        <v>0.0</v>
      </c>
      <c r="AB36" s="89">
        <v>0.0</v>
      </c>
      <c r="AC36" s="89">
        <v>0.0</v>
      </c>
      <c r="AD36" s="89">
        <v>0.0</v>
      </c>
      <c r="AE36" s="89">
        <v>0.0</v>
      </c>
      <c r="AF36" s="89">
        <v>0.0</v>
      </c>
      <c r="AG36" s="89">
        <v>0.0</v>
      </c>
      <c r="AH36" s="89">
        <v>0.0</v>
      </c>
      <c r="AI36" s="89">
        <v>0.0</v>
      </c>
      <c r="AJ36" s="89">
        <v>0.0</v>
      </c>
      <c r="AK36" s="90">
        <v>0.0</v>
      </c>
      <c r="AL36" s="85"/>
      <c r="AM36" s="85">
        <f t="shared" si="1"/>
        <v>0</v>
      </c>
      <c r="AN36" s="86">
        <f t="shared" si="2"/>
        <v>0</v>
      </c>
      <c r="AO36" s="13"/>
    </row>
    <row r="37" ht="30.0" customHeight="1">
      <c r="A37" s="4" t="str">
        <f>IFERROR(VLOOKUP(C37,'Product List'!$A$2:$C198,2,FALSE),"")</f>
        <v/>
      </c>
      <c r="B37" s="5" t="str">
        <f>IFERROR(VLOOKUP(C37,'Product List'!$A$2:$C198,3,FALSE),"")</f>
        <v/>
      </c>
      <c r="C37" s="6"/>
      <c r="D37" s="7"/>
      <c r="E37" s="76">
        <f>IFERROR(__xludf.DUMMYFUNCTION("+E36+1"),22.0)</f>
        <v>22</v>
      </c>
      <c r="F37" s="77" t="s">
        <v>378</v>
      </c>
      <c r="G37" s="78">
        <v>120000.0</v>
      </c>
      <c r="H37" s="78">
        <v>0.0</v>
      </c>
      <c r="I37" s="78">
        <f>IFERROR(__xludf.DUMMYFUNCTION("+G37-H37"),120000.0)</f>
        <v>120000</v>
      </c>
      <c r="J37" s="78">
        <v>0.0</v>
      </c>
      <c r="K37" s="78">
        <f>IFERROR(__xludf.DUMMYFUNCTION("+I37+J37"),120000.0)</f>
        <v>120000</v>
      </c>
      <c r="L37" s="79">
        <f>IFERROR(__xludf.DUMMYFUNCTION("+K37/$K$190"),0.008633093525179856)</f>
        <v>0.008633093525</v>
      </c>
      <c r="M37" s="78">
        <f>IFERROR(__xludf.DUMMYFUNCTION("+K37/$T$9"),1.4593746579590645)</f>
        <v>1.459374658</v>
      </c>
      <c r="N37" s="80">
        <f>IFERROR(__xludf.DUMMYFUNCTION("+K37-SUM(O37:AL37)"),120000.0)</f>
        <v>120000</v>
      </c>
      <c r="O37" s="81">
        <v>0.0</v>
      </c>
      <c r="P37" s="88">
        <v>0.0</v>
      </c>
      <c r="Q37" s="89">
        <v>0.0</v>
      </c>
      <c r="R37" s="88">
        <v>0.0</v>
      </c>
      <c r="S37" s="89">
        <v>0.0</v>
      </c>
      <c r="T37" s="89">
        <v>0.0</v>
      </c>
      <c r="U37" s="89">
        <v>0.0</v>
      </c>
      <c r="V37" s="89">
        <v>0.0</v>
      </c>
      <c r="W37" s="89">
        <v>0.0</v>
      </c>
      <c r="X37" s="89">
        <v>0.0</v>
      </c>
      <c r="Y37" s="89">
        <v>0.0</v>
      </c>
      <c r="Z37" s="89">
        <v>0.0</v>
      </c>
      <c r="AA37" s="89">
        <v>0.0</v>
      </c>
      <c r="AB37" s="89">
        <v>0.0</v>
      </c>
      <c r="AC37" s="89">
        <v>0.0</v>
      </c>
      <c r="AD37" s="89">
        <v>0.0</v>
      </c>
      <c r="AE37" s="89">
        <v>0.0</v>
      </c>
      <c r="AF37" s="89">
        <v>0.0</v>
      </c>
      <c r="AG37" s="89">
        <v>0.0</v>
      </c>
      <c r="AH37" s="89">
        <v>0.0</v>
      </c>
      <c r="AI37" s="89">
        <v>0.0</v>
      </c>
      <c r="AJ37" s="89">
        <v>0.0</v>
      </c>
      <c r="AK37" s="90">
        <v>0.0</v>
      </c>
      <c r="AL37" s="85"/>
      <c r="AM37" s="85">
        <f t="shared" si="1"/>
        <v>0</v>
      </c>
      <c r="AN37" s="86">
        <f t="shared" si="2"/>
        <v>0</v>
      </c>
      <c r="AO37" s="13"/>
    </row>
    <row r="38" ht="30.0" customHeight="1">
      <c r="A38" s="4" t="str">
        <f>IFERROR(VLOOKUP(C38,'Product List'!$A$2:$C198,2,FALSE),"")</f>
        <v/>
      </c>
      <c r="B38" s="5" t="str">
        <f>IFERROR(VLOOKUP(C38,'Product List'!$A$2:$C198,3,FALSE),"")</f>
        <v/>
      </c>
      <c r="C38" s="6"/>
      <c r="D38" s="7"/>
      <c r="E38" s="76">
        <f>IFERROR(__xludf.DUMMYFUNCTION("+E37+1"),23.0)</f>
        <v>23</v>
      </c>
      <c r="F38" s="77" t="s">
        <v>379</v>
      </c>
      <c r="G38" s="78">
        <v>325000.0</v>
      </c>
      <c r="H38" s="78">
        <v>0.0</v>
      </c>
      <c r="I38" s="78">
        <f>IFERROR(__xludf.DUMMYFUNCTION("+G38-H38"),325000.0)</f>
        <v>325000</v>
      </c>
      <c r="J38" s="78">
        <v>0.0</v>
      </c>
      <c r="K38" s="78">
        <f>IFERROR(__xludf.DUMMYFUNCTION("+I38+J38"),325000.0)</f>
        <v>325000</v>
      </c>
      <c r="L38" s="79">
        <f>IFERROR(__xludf.DUMMYFUNCTION("+K38/$K$190"),0.023381294964028777)</f>
        <v>0.02338129496</v>
      </c>
      <c r="M38" s="78">
        <f>IFERROR(__xludf.DUMMYFUNCTION("+K38/$T$9"),3.9524730319724664)</f>
        <v>3.952473032</v>
      </c>
      <c r="N38" s="80">
        <f>IFERROR(__xludf.DUMMYFUNCTION("+K38-SUM(O38:AL38)"),325000.0)</f>
        <v>325000</v>
      </c>
      <c r="O38" s="81">
        <v>0.0</v>
      </c>
      <c r="P38" s="88">
        <v>0.0</v>
      </c>
      <c r="Q38" s="89">
        <v>0.0</v>
      </c>
      <c r="R38" s="88">
        <v>0.0</v>
      </c>
      <c r="S38" s="89">
        <v>0.0</v>
      </c>
      <c r="T38" s="89">
        <v>0.0</v>
      </c>
      <c r="U38" s="89">
        <v>0.0</v>
      </c>
      <c r="V38" s="89">
        <v>0.0</v>
      </c>
      <c r="W38" s="89">
        <v>0.0</v>
      </c>
      <c r="X38" s="89">
        <v>0.0</v>
      </c>
      <c r="Y38" s="89">
        <v>0.0</v>
      </c>
      <c r="Z38" s="89">
        <v>0.0</v>
      </c>
      <c r="AA38" s="89">
        <v>0.0</v>
      </c>
      <c r="AB38" s="89">
        <v>0.0</v>
      </c>
      <c r="AC38" s="89">
        <v>0.0</v>
      </c>
      <c r="AD38" s="89">
        <v>0.0</v>
      </c>
      <c r="AE38" s="89">
        <v>0.0</v>
      </c>
      <c r="AF38" s="89">
        <v>0.0</v>
      </c>
      <c r="AG38" s="89">
        <v>0.0</v>
      </c>
      <c r="AH38" s="89">
        <v>0.0</v>
      </c>
      <c r="AI38" s="89">
        <v>0.0</v>
      </c>
      <c r="AJ38" s="89">
        <v>0.0</v>
      </c>
      <c r="AK38" s="90">
        <v>0.0</v>
      </c>
      <c r="AL38" s="85"/>
      <c r="AM38" s="85">
        <f t="shared" si="1"/>
        <v>0</v>
      </c>
      <c r="AN38" s="86">
        <f t="shared" si="2"/>
        <v>0</v>
      </c>
      <c r="AO38" s="13"/>
    </row>
    <row r="39" ht="30.0" customHeight="1">
      <c r="A39" s="4" t="str">
        <f>IFERROR(VLOOKUP(C39,'Product List'!$A$2:$C198,2,FALSE),"")</f>
        <v/>
      </c>
      <c r="B39" s="5" t="str">
        <f>IFERROR(VLOOKUP(C39,'Product List'!$A$2:$C198,3,FALSE),"")</f>
        <v/>
      </c>
      <c r="C39" s="6"/>
      <c r="D39" s="7"/>
      <c r="E39" s="76">
        <f>IFERROR(__xludf.DUMMYFUNCTION("+E38+1"),24.0)</f>
        <v>24</v>
      </c>
      <c r="F39" s="77" t="s">
        <v>380</v>
      </c>
      <c r="G39" s="78">
        <v>95000.0</v>
      </c>
      <c r="H39" s="78">
        <v>0.0</v>
      </c>
      <c r="I39" s="78">
        <f>IFERROR(__xludf.DUMMYFUNCTION("+G39-H39"),95000.0)</f>
        <v>95000</v>
      </c>
      <c r="J39" s="78">
        <v>0.0</v>
      </c>
      <c r="K39" s="78">
        <f>IFERROR(__xludf.DUMMYFUNCTION("+I39+J39"),95000.0)</f>
        <v>95000</v>
      </c>
      <c r="L39" s="79">
        <f>IFERROR(__xludf.DUMMYFUNCTION("+K39/$K$190"),0.006834532374100719)</f>
        <v>0.006834532374</v>
      </c>
      <c r="M39" s="78">
        <f>IFERROR(__xludf.DUMMYFUNCTION("+K39/$T$9"),1.1553382708842594)</f>
        <v>1.155338271</v>
      </c>
      <c r="N39" s="80">
        <f>IFERROR(__xludf.DUMMYFUNCTION("+K39-SUM(O39:AL39)"),95000.0)</f>
        <v>95000</v>
      </c>
      <c r="O39" s="81">
        <v>0.0</v>
      </c>
      <c r="P39" s="88">
        <v>0.0</v>
      </c>
      <c r="Q39" s="89">
        <v>0.0</v>
      </c>
      <c r="R39" s="88">
        <v>0.0</v>
      </c>
      <c r="S39" s="89">
        <v>0.0</v>
      </c>
      <c r="T39" s="89">
        <v>0.0</v>
      </c>
      <c r="U39" s="89">
        <v>0.0</v>
      </c>
      <c r="V39" s="89">
        <v>0.0</v>
      </c>
      <c r="W39" s="89">
        <v>0.0</v>
      </c>
      <c r="X39" s="89">
        <v>0.0</v>
      </c>
      <c r="Y39" s="89">
        <v>0.0</v>
      </c>
      <c r="Z39" s="89">
        <v>0.0</v>
      </c>
      <c r="AA39" s="89">
        <v>0.0</v>
      </c>
      <c r="AB39" s="89">
        <v>0.0</v>
      </c>
      <c r="AC39" s="89">
        <v>0.0</v>
      </c>
      <c r="AD39" s="89">
        <v>0.0</v>
      </c>
      <c r="AE39" s="89">
        <v>0.0</v>
      </c>
      <c r="AF39" s="89">
        <v>0.0</v>
      </c>
      <c r="AG39" s="89">
        <v>0.0</v>
      </c>
      <c r="AH39" s="89">
        <v>0.0</v>
      </c>
      <c r="AI39" s="89">
        <v>0.0</v>
      </c>
      <c r="AJ39" s="89">
        <v>0.0</v>
      </c>
      <c r="AK39" s="90">
        <v>0.0</v>
      </c>
      <c r="AL39" s="85"/>
      <c r="AM39" s="85">
        <f t="shared" si="1"/>
        <v>0</v>
      </c>
      <c r="AN39" s="86">
        <f t="shared" si="2"/>
        <v>0</v>
      </c>
      <c r="AO39" s="13"/>
    </row>
    <row r="40" ht="30.0" customHeight="1">
      <c r="A40" s="4" t="str">
        <f>IFERROR(VLOOKUP(C40,'Product List'!$A$2:$C198,2,FALSE),"")</f>
        <v/>
      </c>
      <c r="B40" s="5" t="str">
        <f>IFERROR(VLOOKUP(C40,'Product List'!$A$2:$C198,3,FALSE),"")</f>
        <v/>
      </c>
      <c r="C40" s="6"/>
      <c r="D40" s="7"/>
      <c r="E40" s="76">
        <f>IFERROR(__xludf.DUMMYFUNCTION("+E39+1"),25.0)</f>
        <v>25</v>
      </c>
      <c r="F40" s="77" t="s">
        <v>381</v>
      </c>
      <c r="G40" s="78">
        <v>213852.35</v>
      </c>
      <c r="H40" s="78">
        <v>213852.35</v>
      </c>
      <c r="I40" s="78">
        <f>IFERROR(__xludf.DUMMYFUNCTION("+G40-H40"),0.0)</f>
        <v>0</v>
      </c>
      <c r="J40" s="78">
        <v>0.0</v>
      </c>
      <c r="K40" s="78">
        <f>IFERROR(__xludf.DUMMYFUNCTION("+I40+J40"),0.0)</f>
        <v>0</v>
      </c>
      <c r="L40" s="79">
        <f>IFERROR(__xludf.DUMMYFUNCTION("+K40/$K$190"),0.0)</f>
        <v>0</v>
      </c>
      <c r="M40" s="78">
        <f>IFERROR(__xludf.DUMMYFUNCTION("+K40/$T$9"),0.0)</f>
        <v>0</v>
      </c>
      <c r="N40" s="80">
        <f>IFERROR(__xludf.DUMMYFUNCTION("+K40-SUM(O40:AL40)"),0.0)</f>
        <v>0</v>
      </c>
      <c r="O40" s="81">
        <v>0.0</v>
      </c>
      <c r="P40" s="88">
        <v>0.0</v>
      </c>
      <c r="Q40" s="89">
        <v>0.0</v>
      </c>
      <c r="R40" s="88">
        <v>0.0</v>
      </c>
      <c r="S40" s="89">
        <v>0.0</v>
      </c>
      <c r="T40" s="89">
        <v>0.0</v>
      </c>
      <c r="U40" s="89">
        <v>0.0</v>
      </c>
      <c r="V40" s="89">
        <v>0.0</v>
      </c>
      <c r="W40" s="89">
        <v>0.0</v>
      </c>
      <c r="X40" s="89">
        <v>0.0</v>
      </c>
      <c r="Y40" s="89">
        <v>0.0</v>
      </c>
      <c r="Z40" s="89">
        <v>0.0</v>
      </c>
      <c r="AA40" s="89">
        <v>0.0</v>
      </c>
      <c r="AB40" s="89">
        <v>0.0</v>
      </c>
      <c r="AC40" s="89">
        <v>0.0</v>
      </c>
      <c r="AD40" s="89">
        <v>0.0</v>
      </c>
      <c r="AE40" s="89">
        <v>0.0</v>
      </c>
      <c r="AF40" s="89">
        <v>0.0</v>
      </c>
      <c r="AG40" s="89">
        <v>0.0</v>
      </c>
      <c r="AH40" s="89">
        <v>0.0</v>
      </c>
      <c r="AI40" s="89">
        <v>0.0</v>
      </c>
      <c r="AJ40" s="89">
        <v>0.0</v>
      </c>
      <c r="AK40" s="90">
        <v>0.0</v>
      </c>
      <c r="AL40" s="85"/>
      <c r="AM40" s="85">
        <f t="shared" si="1"/>
        <v>0</v>
      </c>
      <c r="AN40" s="86" t="str">
        <f t="shared" si="2"/>
        <v/>
      </c>
      <c r="AO40" s="13"/>
    </row>
    <row r="41" ht="30.0" customHeight="1">
      <c r="A41" s="4" t="str">
        <f>IFERROR(VLOOKUP(C41,'Product List'!$A$2:$C198,2,FALSE),"")</f>
        <v/>
      </c>
      <c r="B41" s="5" t="str">
        <f>IFERROR(VLOOKUP(C41,'Product List'!$A$2:$C198,3,FALSE),"")</f>
        <v/>
      </c>
      <c r="C41" s="6"/>
      <c r="D41" s="7"/>
      <c r="E41" s="76">
        <f>IFERROR(__xludf.DUMMYFUNCTION("+E40+1"),26.0)</f>
        <v>26</v>
      </c>
      <c r="F41" s="77" t="s">
        <v>382</v>
      </c>
      <c r="G41" s="78">
        <v>461324.15</v>
      </c>
      <c r="H41" s="78">
        <v>261324.15</v>
      </c>
      <c r="I41" s="78">
        <f>IFERROR(__xludf.DUMMYFUNCTION("+G41-H41"),200000.00000000003)</f>
        <v>200000</v>
      </c>
      <c r="J41" s="78">
        <v>0.0</v>
      </c>
      <c r="K41" s="78">
        <f>IFERROR(__xludf.DUMMYFUNCTION("+I41+J41"),200000.00000000003)</f>
        <v>200000</v>
      </c>
      <c r="L41" s="79">
        <f>IFERROR(__xludf.DUMMYFUNCTION("+K41/$K$190"),0.014388489208633096)</f>
        <v>0.01438848921</v>
      </c>
      <c r="M41" s="78">
        <f>IFERROR(__xludf.DUMMYFUNCTION("+K41/$T$9"),2.4322910965984414)</f>
        <v>2.432291097</v>
      </c>
      <c r="N41" s="80">
        <f>IFERROR(__xludf.DUMMYFUNCTION("+K41-SUM(O41:AL41)"),200000.00000000003)</f>
        <v>200000</v>
      </c>
      <c r="O41" s="81">
        <v>0.0</v>
      </c>
      <c r="P41" s="88">
        <v>0.0</v>
      </c>
      <c r="Q41" s="89">
        <v>0.0</v>
      </c>
      <c r="R41" s="88">
        <v>0.0</v>
      </c>
      <c r="S41" s="89">
        <v>0.0</v>
      </c>
      <c r="T41" s="89">
        <v>0.0</v>
      </c>
      <c r="U41" s="89">
        <v>0.0</v>
      </c>
      <c r="V41" s="89">
        <v>0.0</v>
      </c>
      <c r="W41" s="89">
        <v>0.0</v>
      </c>
      <c r="X41" s="89">
        <v>0.0</v>
      </c>
      <c r="Y41" s="89">
        <v>0.0</v>
      </c>
      <c r="Z41" s="89">
        <v>0.0</v>
      </c>
      <c r="AA41" s="89">
        <v>0.0</v>
      </c>
      <c r="AB41" s="89">
        <v>0.0</v>
      </c>
      <c r="AC41" s="89">
        <v>0.0</v>
      </c>
      <c r="AD41" s="89">
        <v>0.0</v>
      </c>
      <c r="AE41" s="89">
        <v>0.0</v>
      </c>
      <c r="AF41" s="89">
        <v>0.0</v>
      </c>
      <c r="AG41" s="89">
        <v>0.0</v>
      </c>
      <c r="AH41" s="89">
        <v>0.0</v>
      </c>
      <c r="AI41" s="89">
        <v>0.0</v>
      </c>
      <c r="AJ41" s="89">
        <v>0.0</v>
      </c>
      <c r="AK41" s="90">
        <v>0.0</v>
      </c>
      <c r="AL41" s="85"/>
      <c r="AM41" s="85">
        <f t="shared" si="1"/>
        <v>0</v>
      </c>
      <c r="AN41" s="86">
        <f t="shared" si="2"/>
        <v>0</v>
      </c>
      <c r="AO41" s="13"/>
    </row>
    <row r="42" ht="30.0" customHeight="1">
      <c r="A42" s="4" t="str">
        <f>IFERROR(VLOOKUP(C42,'Product List'!$A$2:$C198,2,FALSE),"")</f>
        <v/>
      </c>
      <c r="B42" s="5" t="str">
        <f>IFERROR(VLOOKUP(C42,'Product List'!$A$2:$C198,3,FALSE),"")</f>
        <v/>
      </c>
      <c r="C42" s="6"/>
      <c r="D42" s="7"/>
      <c r="E42" s="76">
        <f>IFERROR(__xludf.DUMMYFUNCTION("+E41+1"),27.0)</f>
        <v>27</v>
      </c>
      <c r="F42" s="77" t="s">
        <v>383</v>
      </c>
      <c r="G42" s="78">
        <v>6000.0</v>
      </c>
      <c r="H42" s="78">
        <v>0.0</v>
      </c>
      <c r="I42" s="78">
        <f>IFERROR(__xludf.DUMMYFUNCTION("+G42-H42"),6000.0)</f>
        <v>6000</v>
      </c>
      <c r="J42" s="78">
        <v>0.0</v>
      </c>
      <c r="K42" s="78">
        <f>IFERROR(__xludf.DUMMYFUNCTION("+I42+J42"),6000.0)</f>
        <v>6000</v>
      </c>
      <c r="L42" s="79">
        <f>IFERROR(__xludf.DUMMYFUNCTION("+K42/$K$190"),4.316546762589928E-4)</f>
        <v>0.0004316546763</v>
      </c>
      <c r="M42" s="78">
        <f>IFERROR(__xludf.DUMMYFUNCTION("+K42/$T$9"),0.07296873289795322)</f>
        <v>0.0729687329</v>
      </c>
      <c r="N42" s="80">
        <f>IFERROR(__xludf.DUMMYFUNCTION("+K42-SUM(O42:AL42)"),6000.0)</f>
        <v>6000</v>
      </c>
      <c r="O42" s="81">
        <v>0.0</v>
      </c>
      <c r="P42" s="88">
        <v>0.0</v>
      </c>
      <c r="Q42" s="89">
        <v>0.0</v>
      </c>
      <c r="R42" s="88">
        <v>0.0</v>
      </c>
      <c r="S42" s="89">
        <v>0.0</v>
      </c>
      <c r="T42" s="89">
        <v>0.0</v>
      </c>
      <c r="U42" s="89">
        <v>0.0</v>
      </c>
      <c r="V42" s="89">
        <v>0.0</v>
      </c>
      <c r="W42" s="89">
        <v>0.0</v>
      </c>
      <c r="X42" s="89">
        <v>0.0</v>
      </c>
      <c r="Y42" s="89">
        <v>0.0</v>
      </c>
      <c r="Z42" s="89">
        <v>0.0</v>
      </c>
      <c r="AA42" s="89">
        <v>0.0</v>
      </c>
      <c r="AB42" s="89">
        <v>0.0</v>
      </c>
      <c r="AC42" s="89">
        <v>0.0</v>
      </c>
      <c r="AD42" s="89">
        <v>0.0</v>
      </c>
      <c r="AE42" s="89">
        <v>0.0</v>
      </c>
      <c r="AF42" s="89">
        <v>0.0</v>
      </c>
      <c r="AG42" s="89">
        <v>0.0</v>
      </c>
      <c r="AH42" s="89">
        <v>0.0</v>
      </c>
      <c r="AI42" s="89">
        <v>0.0</v>
      </c>
      <c r="AJ42" s="89">
        <v>0.0</v>
      </c>
      <c r="AK42" s="90">
        <v>0.0</v>
      </c>
      <c r="AL42" s="85"/>
      <c r="AM42" s="85">
        <f t="shared" si="1"/>
        <v>0</v>
      </c>
      <c r="AN42" s="86">
        <f t="shared" si="2"/>
        <v>0</v>
      </c>
      <c r="AO42" s="13"/>
    </row>
    <row r="43" ht="30.0" customHeight="1">
      <c r="A43" s="4" t="str">
        <f>IFERROR(VLOOKUP(C43,'Product List'!$A$2:$C198,2,FALSE),"")</f>
        <v/>
      </c>
      <c r="B43" s="5" t="str">
        <f>IFERROR(VLOOKUP(C43,'Product List'!$A$2:$C198,3,FALSE),"")</f>
        <v/>
      </c>
      <c r="C43" s="6"/>
      <c r="D43" s="7"/>
      <c r="E43" s="76">
        <f>IFERROR(__xludf.DUMMYFUNCTION("+E42+1"),28.0)</f>
        <v>28</v>
      </c>
      <c r="F43" s="77" t="s">
        <v>384</v>
      </c>
      <c r="G43" s="78">
        <v>125000.0</v>
      </c>
      <c r="H43" s="78">
        <v>0.0</v>
      </c>
      <c r="I43" s="78">
        <f>IFERROR(__xludf.DUMMYFUNCTION("+G43-H43"),125000.0)</f>
        <v>125000</v>
      </c>
      <c r="J43" s="78">
        <v>0.0</v>
      </c>
      <c r="K43" s="78">
        <f>IFERROR(__xludf.DUMMYFUNCTION("+I43+J43"),125000.0)</f>
        <v>125000</v>
      </c>
      <c r="L43" s="79">
        <f>IFERROR(__xludf.DUMMYFUNCTION("+K43/$K$190"),0.008992805755395683)</f>
        <v>0.008992805755</v>
      </c>
      <c r="M43" s="78">
        <f>IFERROR(__xludf.DUMMYFUNCTION("+K43/$T$9"),1.5201819353740256)</f>
        <v>1.520181935</v>
      </c>
      <c r="N43" s="80">
        <f>IFERROR(__xludf.DUMMYFUNCTION("+K43-SUM(O43:AL43)"),125000.0)</f>
        <v>125000</v>
      </c>
      <c r="O43" s="81">
        <v>0.0</v>
      </c>
      <c r="P43" s="88">
        <v>0.0</v>
      </c>
      <c r="Q43" s="89">
        <v>0.0</v>
      </c>
      <c r="R43" s="88">
        <v>0.0</v>
      </c>
      <c r="S43" s="89">
        <v>0.0</v>
      </c>
      <c r="T43" s="89">
        <v>0.0</v>
      </c>
      <c r="U43" s="89">
        <v>0.0</v>
      </c>
      <c r="V43" s="89">
        <v>0.0</v>
      </c>
      <c r="W43" s="89">
        <v>0.0</v>
      </c>
      <c r="X43" s="89">
        <v>0.0</v>
      </c>
      <c r="Y43" s="89">
        <v>0.0</v>
      </c>
      <c r="Z43" s="89">
        <v>0.0</v>
      </c>
      <c r="AA43" s="89">
        <v>0.0</v>
      </c>
      <c r="AB43" s="89">
        <v>0.0</v>
      </c>
      <c r="AC43" s="89">
        <v>0.0</v>
      </c>
      <c r="AD43" s="89">
        <v>0.0</v>
      </c>
      <c r="AE43" s="89">
        <v>0.0</v>
      </c>
      <c r="AF43" s="89">
        <v>0.0</v>
      </c>
      <c r="AG43" s="89">
        <v>0.0</v>
      </c>
      <c r="AH43" s="89">
        <v>0.0</v>
      </c>
      <c r="AI43" s="89">
        <v>0.0</v>
      </c>
      <c r="AJ43" s="89">
        <v>0.0</v>
      </c>
      <c r="AK43" s="90">
        <v>0.0</v>
      </c>
      <c r="AL43" s="85"/>
      <c r="AM43" s="85">
        <f t="shared" si="1"/>
        <v>0</v>
      </c>
      <c r="AN43" s="86">
        <f t="shared" si="2"/>
        <v>0</v>
      </c>
      <c r="AO43" s="13"/>
    </row>
    <row r="44" ht="30.0" customHeight="1">
      <c r="A44" s="4" t="str">
        <f>IFERROR(VLOOKUP(C44,'Product List'!$A$2:$C198,2,FALSE),"")</f>
        <v/>
      </c>
      <c r="B44" s="5" t="str">
        <f>IFERROR(VLOOKUP(C44,'Product List'!$A$2:$C198,3,FALSE),"")</f>
        <v/>
      </c>
      <c r="C44" s="6"/>
      <c r="D44" s="7"/>
      <c r="E44" s="76">
        <f>IFERROR(__xludf.DUMMYFUNCTION("+E43+1"),29.0)</f>
        <v>29</v>
      </c>
      <c r="F44" s="77" t="s">
        <v>385</v>
      </c>
      <c r="G44" s="78">
        <v>10000.0</v>
      </c>
      <c r="H44" s="78">
        <v>0.0</v>
      </c>
      <c r="I44" s="78">
        <f>IFERROR(__xludf.DUMMYFUNCTION("+G44-H44"),10000.0)</f>
        <v>10000</v>
      </c>
      <c r="J44" s="78">
        <v>0.0</v>
      </c>
      <c r="K44" s="78">
        <f>IFERROR(__xludf.DUMMYFUNCTION("+I44+J44"),10000.0)</f>
        <v>10000</v>
      </c>
      <c r="L44" s="79">
        <f>IFERROR(__xludf.DUMMYFUNCTION("+K44/$K$190"),7.194244604316547E-4)</f>
        <v>0.0007194244604</v>
      </c>
      <c r="M44" s="78">
        <f>IFERROR(__xludf.DUMMYFUNCTION("+K44/$T$9"),0.12161455482992205)</f>
        <v>0.1216145548</v>
      </c>
      <c r="N44" s="80">
        <f>IFERROR(__xludf.DUMMYFUNCTION("+K44-SUM(O44:AL44)"),8784.51)</f>
        <v>8784.51</v>
      </c>
      <c r="O44" s="81">
        <v>0.0</v>
      </c>
      <c r="P44" s="88">
        <v>0.0</v>
      </c>
      <c r="Q44" s="89">
        <v>0.0</v>
      </c>
      <c r="R44" s="88">
        <v>0.0</v>
      </c>
      <c r="S44" s="89">
        <v>0.0</v>
      </c>
      <c r="T44" s="89">
        <v>0.0</v>
      </c>
      <c r="U44" s="89">
        <v>0.0</v>
      </c>
      <c r="V44" s="88">
        <v>1215.49</v>
      </c>
      <c r="W44" s="89">
        <v>0.0</v>
      </c>
      <c r="X44" s="89">
        <v>0.0</v>
      </c>
      <c r="Y44" s="89">
        <v>0.0</v>
      </c>
      <c r="Z44" s="89">
        <v>0.0</v>
      </c>
      <c r="AA44" s="89">
        <v>0.0</v>
      </c>
      <c r="AB44" s="89">
        <v>0.0</v>
      </c>
      <c r="AC44" s="89">
        <v>0.0</v>
      </c>
      <c r="AD44" s="89">
        <v>0.0</v>
      </c>
      <c r="AE44" s="89">
        <v>0.0</v>
      </c>
      <c r="AF44" s="89">
        <v>0.0</v>
      </c>
      <c r="AG44" s="89">
        <v>0.0</v>
      </c>
      <c r="AH44" s="89">
        <v>0.0</v>
      </c>
      <c r="AI44" s="89">
        <v>0.0</v>
      </c>
      <c r="AJ44" s="89">
        <v>0.0</v>
      </c>
      <c r="AK44" s="90">
        <v>0.0</v>
      </c>
      <c r="AL44" s="85"/>
      <c r="AM44" s="85">
        <f t="shared" si="1"/>
        <v>1215.49</v>
      </c>
      <c r="AN44" s="86">
        <f t="shared" si="2"/>
        <v>0.121549</v>
      </c>
      <c r="AO44" s="13"/>
    </row>
    <row r="45" ht="30.0" customHeight="1">
      <c r="A45" s="4" t="str">
        <f>IFERROR(VLOOKUP(C45,'Product List'!$A$2:$C198,2,FALSE),"")</f>
        <v/>
      </c>
      <c r="B45" s="5" t="str">
        <f>IFERROR(VLOOKUP(C45,'Product List'!$A$2:$C198,3,FALSE),"")</f>
        <v/>
      </c>
      <c r="C45" s="6"/>
      <c r="D45" s="7"/>
      <c r="E45" s="76">
        <f>IFERROR(__xludf.DUMMYFUNCTION("+E44+1"),30.0)</f>
        <v>30</v>
      </c>
      <c r="F45" s="77" t="s">
        <v>386</v>
      </c>
      <c r="G45" s="78">
        <v>47550.0</v>
      </c>
      <c r="H45" s="78">
        <v>0.0</v>
      </c>
      <c r="I45" s="78">
        <f>IFERROR(__xludf.DUMMYFUNCTION("+G45-H45"),47550.0)</f>
        <v>47550</v>
      </c>
      <c r="J45" s="78">
        <v>0.0</v>
      </c>
      <c r="K45" s="78">
        <f>IFERROR(__xludf.DUMMYFUNCTION("+I45+J45"),47550.0)</f>
        <v>47550</v>
      </c>
      <c r="L45" s="79">
        <f>IFERROR(__xludf.DUMMYFUNCTION("+K45/$K$190"),0.003420863309352518)</f>
        <v>0.003420863309</v>
      </c>
      <c r="M45" s="78">
        <f>IFERROR(__xludf.DUMMYFUNCTION("+K45/$T$9"),0.5782772082162794)</f>
        <v>0.5782772082</v>
      </c>
      <c r="N45" s="80">
        <f>IFERROR(__xludf.DUMMYFUNCTION("+K45-SUM(O45:AL45)"),47550.0)</f>
        <v>47550</v>
      </c>
      <c r="O45" s="81">
        <v>0.0</v>
      </c>
      <c r="P45" s="88">
        <v>0.0</v>
      </c>
      <c r="Q45" s="89">
        <v>0.0</v>
      </c>
      <c r="R45" s="88">
        <v>0.0</v>
      </c>
      <c r="S45" s="89">
        <v>0.0</v>
      </c>
      <c r="T45" s="89">
        <v>0.0</v>
      </c>
      <c r="U45" s="89">
        <v>0.0</v>
      </c>
      <c r="V45" s="89">
        <v>0.0</v>
      </c>
      <c r="W45" s="89">
        <v>0.0</v>
      </c>
      <c r="X45" s="89">
        <v>0.0</v>
      </c>
      <c r="Y45" s="89">
        <v>0.0</v>
      </c>
      <c r="Z45" s="89">
        <v>0.0</v>
      </c>
      <c r="AA45" s="89">
        <v>0.0</v>
      </c>
      <c r="AB45" s="89">
        <v>0.0</v>
      </c>
      <c r="AC45" s="89">
        <v>0.0</v>
      </c>
      <c r="AD45" s="89">
        <v>0.0</v>
      </c>
      <c r="AE45" s="89">
        <v>0.0</v>
      </c>
      <c r="AF45" s="89">
        <v>0.0</v>
      </c>
      <c r="AG45" s="89">
        <v>0.0</v>
      </c>
      <c r="AH45" s="89">
        <v>0.0</v>
      </c>
      <c r="AI45" s="89">
        <v>0.0</v>
      </c>
      <c r="AJ45" s="89">
        <v>0.0</v>
      </c>
      <c r="AK45" s="90">
        <v>0.0</v>
      </c>
      <c r="AL45" s="85"/>
      <c r="AM45" s="85">
        <f t="shared" si="1"/>
        <v>0</v>
      </c>
      <c r="AN45" s="86">
        <f t="shared" si="2"/>
        <v>0</v>
      </c>
      <c r="AO45" s="13"/>
    </row>
    <row r="46" ht="30.0" customHeight="1">
      <c r="A46" s="4" t="str">
        <f>IFERROR(VLOOKUP(C46,'Product List'!$A$2:$C198,2,FALSE),"")</f>
        <v/>
      </c>
      <c r="B46" s="5" t="str">
        <f>IFERROR(VLOOKUP(C46,'Product List'!$A$2:$C198,3,FALSE),"")</f>
        <v/>
      </c>
      <c r="C46" s="6"/>
      <c r="D46" s="7"/>
      <c r="E46" s="76">
        <f>IFERROR(__xludf.DUMMYFUNCTION("+E45+1"),31.0)</f>
        <v>31</v>
      </c>
      <c r="F46" s="77" t="s">
        <v>387</v>
      </c>
      <c r="G46" s="78">
        <v>58110.22</v>
      </c>
      <c r="H46" s="78">
        <v>0.0</v>
      </c>
      <c r="I46" s="78">
        <f>IFERROR(__xludf.DUMMYFUNCTION("+G46-H46"),58110.22)</f>
        <v>58110.22</v>
      </c>
      <c r="J46" s="78">
        <v>0.0</v>
      </c>
      <c r="K46" s="78">
        <f>IFERROR(__xludf.DUMMYFUNCTION("+I46+J46"),58110.22)</f>
        <v>58110.22</v>
      </c>
      <c r="L46" s="79">
        <f>IFERROR(__xludf.DUMMYFUNCTION("+K46/$K$190"),0.004180591366906475)</f>
        <v>0.004180591367</v>
      </c>
      <c r="M46" s="78">
        <f>IFERROR(__xludf.DUMMYFUNCTION("+K46/$T$9"),0.7067048536368833)</f>
        <v>0.7067048536</v>
      </c>
      <c r="N46" s="80">
        <f>IFERROR(__xludf.DUMMYFUNCTION("+K46-SUM(O46:AL46)"),55485.22)</f>
        <v>55485.22</v>
      </c>
      <c r="O46" s="81">
        <v>0.0</v>
      </c>
      <c r="P46" s="88">
        <v>0.0</v>
      </c>
      <c r="Q46" s="89">
        <v>0.0</v>
      </c>
      <c r="R46" s="88">
        <v>0.0</v>
      </c>
      <c r="S46" s="89">
        <v>0.0</v>
      </c>
      <c r="T46" s="89">
        <v>0.0</v>
      </c>
      <c r="U46" s="89">
        <v>0.0</v>
      </c>
      <c r="V46" s="88">
        <v>2625.0</v>
      </c>
      <c r="W46" s="89">
        <v>0.0</v>
      </c>
      <c r="X46" s="89">
        <v>0.0</v>
      </c>
      <c r="Y46" s="89">
        <v>0.0</v>
      </c>
      <c r="Z46" s="89">
        <v>0.0</v>
      </c>
      <c r="AA46" s="89">
        <v>0.0</v>
      </c>
      <c r="AB46" s="89">
        <v>0.0</v>
      </c>
      <c r="AC46" s="89">
        <v>0.0</v>
      </c>
      <c r="AD46" s="89">
        <v>0.0</v>
      </c>
      <c r="AE46" s="89">
        <v>0.0</v>
      </c>
      <c r="AF46" s="89">
        <v>0.0</v>
      </c>
      <c r="AG46" s="89">
        <v>0.0</v>
      </c>
      <c r="AH46" s="89">
        <v>0.0</v>
      </c>
      <c r="AI46" s="89">
        <v>0.0</v>
      </c>
      <c r="AJ46" s="89">
        <v>0.0</v>
      </c>
      <c r="AK46" s="90">
        <v>0.0</v>
      </c>
      <c r="AL46" s="85"/>
      <c r="AM46" s="85">
        <f t="shared" si="1"/>
        <v>2625</v>
      </c>
      <c r="AN46" s="86">
        <f t="shared" si="2"/>
        <v>0.04517277684</v>
      </c>
      <c r="AO46" s="13"/>
    </row>
    <row r="47" ht="30.0" customHeight="1">
      <c r="A47" s="4" t="str">
        <f>IFERROR(VLOOKUP(C47,'Product List'!$A$2:$C198,2,FALSE),"")</f>
        <v/>
      </c>
      <c r="B47" s="5" t="str">
        <f>IFERROR(VLOOKUP(C47,'Product List'!$A$2:$C198,3,FALSE),"")</f>
        <v/>
      </c>
      <c r="C47" s="6"/>
      <c r="D47" s="7"/>
      <c r="E47" s="76">
        <f>IFERROR(__xludf.DUMMYFUNCTION("+E46+1"),32.0)</f>
        <v>32</v>
      </c>
      <c r="F47" s="77" t="s">
        <v>388</v>
      </c>
      <c r="G47" s="78">
        <v>7850.0</v>
      </c>
      <c r="H47" s="78">
        <v>0.0</v>
      </c>
      <c r="I47" s="78">
        <f>IFERROR(__xludf.DUMMYFUNCTION("+G47-H47"),7850.0)</f>
        <v>7850</v>
      </c>
      <c r="J47" s="78">
        <v>0.0</v>
      </c>
      <c r="K47" s="78">
        <f>IFERROR(__xludf.DUMMYFUNCTION("+I47+J47"),7850.0)</f>
        <v>7850</v>
      </c>
      <c r="L47" s="79">
        <f>IFERROR(__xludf.DUMMYFUNCTION("+K47/$K$190"),5.647482014388489E-4)</f>
        <v>0.0005647482014</v>
      </c>
      <c r="M47" s="78">
        <f>IFERROR(__xludf.DUMMYFUNCTION("+K47/$T$9"),0.0954674255414888)</f>
        <v>0.09546742554</v>
      </c>
      <c r="N47" s="80">
        <f>IFERROR(__xludf.DUMMYFUNCTION("+K47-SUM(O47:AL47)"),7621.32)</f>
        <v>7621.32</v>
      </c>
      <c r="O47" s="81">
        <v>0.0</v>
      </c>
      <c r="P47" s="88">
        <v>0.0</v>
      </c>
      <c r="Q47" s="89">
        <v>0.0</v>
      </c>
      <c r="R47" s="88">
        <v>228.68</v>
      </c>
      <c r="S47" s="89">
        <v>0.0</v>
      </c>
      <c r="T47" s="89">
        <v>0.0</v>
      </c>
      <c r="U47" s="89">
        <v>0.0</v>
      </c>
      <c r="V47" s="89">
        <v>0.0</v>
      </c>
      <c r="W47" s="89">
        <v>0.0</v>
      </c>
      <c r="X47" s="89">
        <v>0.0</v>
      </c>
      <c r="Y47" s="89">
        <v>0.0</v>
      </c>
      <c r="Z47" s="89">
        <v>0.0</v>
      </c>
      <c r="AA47" s="89">
        <v>0.0</v>
      </c>
      <c r="AB47" s="89">
        <v>0.0</v>
      </c>
      <c r="AC47" s="89">
        <v>0.0</v>
      </c>
      <c r="AD47" s="89">
        <v>0.0</v>
      </c>
      <c r="AE47" s="89">
        <v>0.0</v>
      </c>
      <c r="AF47" s="89">
        <v>0.0</v>
      </c>
      <c r="AG47" s="89">
        <v>0.0</v>
      </c>
      <c r="AH47" s="89">
        <v>0.0</v>
      </c>
      <c r="AI47" s="89">
        <v>0.0</v>
      </c>
      <c r="AJ47" s="89">
        <v>0.0</v>
      </c>
      <c r="AK47" s="90">
        <v>0.0</v>
      </c>
      <c r="AL47" s="85"/>
      <c r="AM47" s="85">
        <f t="shared" si="1"/>
        <v>228.68</v>
      </c>
      <c r="AN47" s="86">
        <f t="shared" si="2"/>
        <v>0.02913121019</v>
      </c>
      <c r="AO47" s="13"/>
    </row>
    <row r="48" ht="30.0" customHeight="1">
      <c r="A48" s="4" t="str">
        <f>IFERROR(VLOOKUP(C48,'Product List'!$A$2:$C198,2,FALSE),"")</f>
        <v/>
      </c>
      <c r="B48" s="5" t="str">
        <f>IFERROR(VLOOKUP(C48,'Product List'!$A$2:$C198,3,FALSE),"")</f>
        <v/>
      </c>
      <c r="C48" s="6"/>
      <c r="D48" s="5"/>
      <c r="E48" s="76">
        <f>IFERROR(__xludf.DUMMYFUNCTION("+E47+1"),33.0)</f>
        <v>33</v>
      </c>
      <c r="F48" s="77" t="s">
        <v>389</v>
      </c>
      <c r="G48" s="78">
        <v>34000.0</v>
      </c>
      <c r="H48" s="78">
        <v>0.0</v>
      </c>
      <c r="I48" s="78">
        <f>IFERROR(__xludf.DUMMYFUNCTION("+G48-H48"),34000.0)</f>
        <v>34000</v>
      </c>
      <c r="J48" s="78">
        <v>0.0</v>
      </c>
      <c r="K48" s="78">
        <f>IFERROR(__xludf.DUMMYFUNCTION("+I48+J48"),34000.0)</f>
        <v>34000</v>
      </c>
      <c r="L48" s="79">
        <f>IFERROR(__xludf.DUMMYFUNCTION("+K48/$K$190"),0.002446043165467626)</f>
        <v>0.002446043165</v>
      </c>
      <c r="M48" s="78">
        <f>IFERROR(__xludf.DUMMYFUNCTION("+K48/$T$9"),0.41348948642173494)</f>
        <v>0.4134894864</v>
      </c>
      <c r="N48" s="80">
        <f>IFERROR(__xludf.DUMMYFUNCTION("+K48-SUM(O48:AL48)"),34000.0)</f>
        <v>34000</v>
      </c>
      <c r="O48" s="81">
        <v>0.0</v>
      </c>
      <c r="P48" s="88">
        <v>0.0</v>
      </c>
      <c r="Q48" s="89">
        <v>0.0</v>
      </c>
      <c r="R48" s="88">
        <v>0.0</v>
      </c>
      <c r="S48" s="89">
        <v>0.0</v>
      </c>
      <c r="T48" s="89">
        <v>0.0</v>
      </c>
      <c r="U48" s="89">
        <v>0.0</v>
      </c>
      <c r="V48" s="89">
        <v>0.0</v>
      </c>
      <c r="W48" s="89">
        <v>0.0</v>
      </c>
      <c r="X48" s="89">
        <v>0.0</v>
      </c>
      <c r="Y48" s="89">
        <v>0.0</v>
      </c>
      <c r="Z48" s="89">
        <v>0.0</v>
      </c>
      <c r="AA48" s="89">
        <v>0.0</v>
      </c>
      <c r="AB48" s="89">
        <v>0.0</v>
      </c>
      <c r="AC48" s="89">
        <v>0.0</v>
      </c>
      <c r="AD48" s="89">
        <v>0.0</v>
      </c>
      <c r="AE48" s="89">
        <v>0.0</v>
      </c>
      <c r="AF48" s="89">
        <v>0.0</v>
      </c>
      <c r="AG48" s="89">
        <v>0.0</v>
      </c>
      <c r="AH48" s="89">
        <v>0.0</v>
      </c>
      <c r="AI48" s="89">
        <v>0.0</v>
      </c>
      <c r="AJ48" s="89">
        <v>0.0</v>
      </c>
      <c r="AK48" s="90">
        <v>0.0</v>
      </c>
      <c r="AL48" s="85"/>
      <c r="AM48" s="85">
        <f t="shared" si="1"/>
        <v>0</v>
      </c>
      <c r="AN48" s="86">
        <f t="shared" si="2"/>
        <v>0</v>
      </c>
      <c r="AO48" s="13"/>
    </row>
    <row r="49" ht="30.0" customHeight="1">
      <c r="A49" s="4" t="str">
        <f>IFERROR(VLOOKUP(C49,'Product List'!$A$2:$C198,2,FALSE),"")</f>
        <v/>
      </c>
      <c r="B49" s="5" t="str">
        <f>IFERROR(VLOOKUP(C49,'Product List'!$A$2:$C198,3,FALSE),"")</f>
        <v/>
      </c>
      <c r="C49" s="6"/>
      <c r="D49" s="5"/>
      <c r="E49" s="76">
        <f>IFERROR(__xludf.DUMMYFUNCTION("+E48+1"),34.0)</f>
        <v>34</v>
      </c>
      <c r="F49" s="77" t="s">
        <v>390</v>
      </c>
      <c r="G49" s="78">
        <v>312858.0</v>
      </c>
      <c r="H49" s="78">
        <v>0.0</v>
      </c>
      <c r="I49" s="78">
        <f>IFERROR(__xludf.DUMMYFUNCTION("+G49-H49"),312858.0)</f>
        <v>312858</v>
      </c>
      <c r="J49" s="78">
        <v>0.0</v>
      </c>
      <c r="K49" s="78">
        <f>IFERROR(__xludf.DUMMYFUNCTION("+I49+J49"),312858.0)</f>
        <v>312858</v>
      </c>
      <c r="L49" s="79">
        <f>IFERROR(__xludf.DUMMYFUNCTION("+K49/$K$190"),0.02250776978417266)</f>
        <v>0.02250776978</v>
      </c>
      <c r="M49" s="78">
        <f>IFERROR(__xludf.DUMMYFUNCTION("+K49/$T$9"),3.804808639497975)</f>
        <v>3.804808639</v>
      </c>
      <c r="N49" s="80">
        <f>IFERROR(__xludf.DUMMYFUNCTION("+K49-SUM(O49:AL49)"),312858.0)</f>
        <v>312858</v>
      </c>
      <c r="O49" s="81">
        <v>0.0</v>
      </c>
      <c r="P49" s="88">
        <v>0.0</v>
      </c>
      <c r="Q49" s="89">
        <v>0.0</v>
      </c>
      <c r="R49" s="88">
        <v>0.0</v>
      </c>
      <c r="S49" s="89">
        <v>0.0</v>
      </c>
      <c r="T49" s="89">
        <v>0.0</v>
      </c>
      <c r="U49" s="89">
        <v>0.0</v>
      </c>
      <c r="V49" s="89">
        <v>0.0</v>
      </c>
      <c r="W49" s="89">
        <v>0.0</v>
      </c>
      <c r="X49" s="89">
        <v>0.0</v>
      </c>
      <c r="Y49" s="89">
        <v>0.0</v>
      </c>
      <c r="Z49" s="89">
        <v>0.0</v>
      </c>
      <c r="AA49" s="89">
        <v>0.0</v>
      </c>
      <c r="AB49" s="89">
        <v>0.0</v>
      </c>
      <c r="AC49" s="89">
        <v>0.0</v>
      </c>
      <c r="AD49" s="89">
        <v>0.0</v>
      </c>
      <c r="AE49" s="89">
        <v>0.0</v>
      </c>
      <c r="AF49" s="89">
        <v>0.0</v>
      </c>
      <c r="AG49" s="89">
        <v>0.0</v>
      </c>
      <c r="AH49" s="89">
        <v>0.0</v>
      </c>
      <c r="AI49" s="89">
        <v>0.0</v>
      </c>
      <c r="AJ49" s="89">
        <v>0.0</v>
      </c>
      <c r="AK49" s="90">
        <v>0.0</v>
      </c>
      <c r="AL49" s="85"/>
      <c r="AM49" s="85">
        <f t="shared" si="1"/>
        <v>0</v>
      </c>
      <c r="AN49" s="86">
        <f t="shared" si="2"/>
        <v>0</v>
      </c>
      <c r="AO49" s="13"/>
    </row>
    <row r="50" ht="30.0" customHeight="1">
      <c r="A50" s="4" t="str">
        <f>IFERROR(VLOOKUP(C50,'Product List'!$A$2:$C198,2,FALSE),"")</f>
        <v/>
      </c>
      <c r="B50" s="5" t="str">
        <f>IFERROR(VLOOKUP(C50,'Product List'!$A$2:$C198,3,FALSE),"")</f>
        <v/>
      </c>
      <c r="C50" s="6"/>
      <c r="D50" s="5"/>
      <c r="E50" s="76">
        <f>IFERROR(__xludf.DUMMYFUNCTION("+E49+1"),35.0)</f>
        <v>35</v>
      </c>
      <c r="F50" s="77" t="s">
        <v>391</v>
      </c>
      <c r="G50" s="78">
        <v>748952.0</v>
      </c>
      <c r="H50" s="78">
        <v>0.0</v>
      </c>
      <c r="I50" s="78">
        <f>IFERROR(__xludf.DUMMYFUNCTION("+G50-H50"),748952.0)</f>
        <v>748952</v>
      </c>
      <c r="J50" s="78">
        <v>0.0</v>
      </c>
      <c r="K50" s="78">
        <f>IFERROR(__xludf.DUMMYFUNCTION("+I50+J50"),748952.0)</f>
        <v>748952</v>
      </c>
      <c r="L50" s="79">
        <f>IFERROR(__xludf.DUMMYFUNCTION("+K50/$K$190"),0.05388143884892086)</f>
        <v>0.05388143885</v>
      </c>
      <c r="M50" s="78">
        <f>IFERROR(__xludf.DUMMYFUNCTION("+K50/$T$9"),9.108346406897978)</f>
        <v>9.108346407</v>
      </c>
      <c r="N50" s="80">
        <f>IFERROR(__xludf.DUMMYFUNCTION("+K50-SUM(O50:AL50)"),713867.3)</f>
        <v>713867.3</v>
      </c>
      <c r="O50" s="81">
        <v>0.0</v>
      </c>
      <c r="P50" s="88">
        <v>0.0</v>
      </c>
      <c r="Q50" s="89">
        <v>0.0</v>
      </c>
      <c r="R50" s="88">
        <v>0.0</v>
      </c>
      <c r="S50" s="89">
        <v>0.0</v>
      </c>
      <c r="T50" s="89">
        <v>0.0</v>
      </c>
      <c r="U50" s="89">
        <v>0.0</v>
      </c>
      <c r="V50" s="88">
        <f>35084.7+0-1754.24</f>
        <v>33330.46</v>
      </c>
      <c r="W50" s="89">
        <v>0.0</v>
      </c>
      <c r="X50" s="89">
        <v>0.0</v>
      </c>
      <c r="Y50" s="89">
        <v>0.0</v>
      </c>
      <c r="Z50" s="89">
        <v>0.0</v>
      </c>
      <c r="AA50" s="89">
        <v>0.0</v>
      </c>
      <c r="AB50" s="89">
        <v>0.0</v>
      </c>
      <c r="AC50" s="89">
        <v>0.0</v>
      </c>
      <c r="AD50" s="89">
        <v>0.0</v>
      </c>
      <c r="AE50" s="89">
        <v>0.0</v>
      </c>
      <c r="AF50" s="89">
        <v>0.0</v>
      </c>
      <c r="AG50" s="89">
        <v>0.0</v>
      </c>
      <c r="AH50" s="89">
        <v>0.0</v>
      </c>
      <c r="AI50" s="89">
        <v>0.0</v>
      </c>
      <c r="AJ50" s="89">
        <v>0.0</v>
      </c>
      <c r="AK50" s="90">
        <v>0.0</v>
      </c>
      <c r="AL50" s="91">
        <v>1754.24</v>
      </c>
      <c r="AM50" s="85">
        <f t="shared" si="1"/>
        <v>35084.7</v>
      </c>
      <c r="AN50" s="86">
        <f t="shared" si="2"/>
        <v>0.04450279858</v>
      </c>
      <c r="AO50" s="13"/>
    </row>
    <row r="51" ht="30.0" customHeight="1">
      <c r="A51" s="4" t="str">
        <f>IFERROR(VLOOKUP(C51,'Product List'!$A$2:$C198,2,FALSE),"")</f>
        <v/>
      </c>
      <c r="B51" s="5" t="str">
        <f>IFERROR(VLOOKUP(C51,'Product List'!$A$2:$C198,3,FALSE),"")</f>
        <v/>
      </c>
      <c r="C51" s="6"/>
      <c r="D51" s="5"/>
      <c r="E51" s="76">
        <f>IFERROR(__xludf.DUMMYFUNCTION("+E50+1"),36.0)</f>
        <v>36</v>
      </c>
      <c r="F51" s="77" t="s">
        <v>392</v>
      </c>
      <c r="G51" s="78">
        <v>14500.0</v>
      </c>
      <c r="H51" s="78">
        <v>0.0</v>
      </c>
      <c r="I51" s="78">
        <f>IFERROR(__xludf.DUMMYFUNCTION("+G51-H51"),14500.0)</f>
        <v>14500</v>
      </c>
      <c r="J51" s="78">
        <v>0.0</v>
      </c>
      <c r="K51" s="78">
        <f>IFERROR(__xludf.DUMMYFUNCTION("+I51+J51"),14500.0)</f>
        <v>14500</v>
      </c>
      <c r="L51" s="79">
        <f>IFERROR(__xludf.DUMMYFUNCTION("+K51/$K$190"),0.0010431654676258994)</f>
        <v>0.001043165468</v>
      </c>
      <c r="M51" s="78">
        <f>IFERROR(__xludf.DUMMYFUNCTION("+K51/$T$9"),0.17634110450338697)</f>
        <v>0.1763411045</v>
      </c>
      <c r="N51" s="80">
        <f>IFERROR(__xludf.DUMMYFUNCTION("+K51-SUM(O51:AL51)"),14500.0)</f>
        <v>14500</v>
      </c>
      <c r="O51" s="81">
        <v>0.0</v>
      </c>
      <c r="P51" s="88">
        <v>0.0</v>
      </c>
      <c r="Q51" s="89">
        <v>0.0</v>
      </c>
      <c r="R51" s="88">
        <v>0.0</v>
      </c>
      <c r="S51" s="89">
        <v>0.0</v>
      </c>
      <c r="T51" s="89">
        <v>0.0</v>
      </c>
      <c r="U51" s="89">
        <v>0.0</v>
      </c>
      <c r="V51" s="89">
        <v>0.0</v>
      </c>
      <c r="W51" s="89">
        <v>0.0</v>
      </c>
      <c r="X51" s="89">
        <v>0.0</v>
      </c>
      <c r="Y51" s="89">
        <v>0.0</v>
      </c>
      <c r="Z51" s="89">
        <v>0.0</v>
      </c>
      <c r="AA51" s="89">
        <v>0.0</v>
      </c>
      <c r="AB51" s="89">
        <v>0.0</v>
      </c>
      <c r="AC51" s="89">
        <v>0.0</v>
      </c>
      <c r="AD51" s="89">
        <v>0.0</v>
      </c>
      <c r="AE51" s="89">
        <v>0.0</v>
      </c>
      <c r="AF51" s="89">
        <v>0.0</v>
      </c>
      <c r="AG51" s="89">
        <v>0.0</v>
      </c>
      <c r="AH51" s="89">
        <v>0.0</v>
      </c>
      <c r="AI51" s="89">
        <v>0.0</v>
      </c>
      <c r="AJ51" s="89">
        <v>0.0</v>
      </c>
      <c r="AK51" s="90">
        <v>0.0</v>
      </c>
      <c r="AL51" s="85"/>
      <c r="AM51" s="85">
        <f t="shared" si="1"/>
        <v>0</v>
      </c>
      <c r="AN51" s="86">
        <f t="shared" si="2"/>
        <v>0</v>
      </c>
      <c r="AO51" s="13"/>
    </row>
    <row r="52" ht="30.0" customHeight="1">
      <c r="A52" s="4" t="str">
        <f>IFERROR(VLOOKUP(C52,'Product List'!$A$2:$C198,2,FALSE),"")</f>
        <v/>
      </c>
      <c r="B52" s="5" t="str">
        <f>IFERROR(VLOOKUP(C52,'Product List'!$A$2:$C198,3,FALSE),"")</f>
        <v/>
      </c>
      <c r="C52" s="6"/>
      <c r="D52" s="5"/>
      <c r="E52" s="76">
        <f>IFERROR(__xludf.DUMMYFUNCTION("+E51+1"),37.0)</f>
        <v>37</v>
      </c>
      <c r="F52" s="77" t="s">
        <v>393</v>
      </c>
      <c r="G52" s="78">
        <v>4250.0</v>
      </c>
      <c r="H52" s="78">
        <v>0.0</v>
      </c>
      <c r="I52" s="78">
        <f>IFERROR(__xludf.DUMMYFUNCTION("+G52-H52"),4250.0)</f>
        <v>4250</v>
      </c>
      <c r="J52" s="78">
        <v>0.0</v>
      </c>
      <c r="K52" s="78">
        <f>IFERROR(__xludf.DUMMYFUNCTION("+I52+J52"),4250.0)</f>
        <v>4250</v>
      </c>
      <c r="L52" s="79">
        <f>IFERROR(__xludf.DUMMYFUNCTION("+K52/$K$190"),3.0575539568345324E-4)</f>
        <v>0.0003057553957</v>
      </c>
      <c r="M52" s="78">
        <f>IFERROR(__xludf.DUMMYFUNCTION("+K52/$T$9"),0.05168618580271687)</f>
        <v>0.0516861858</v>
      </c>
      <c r="N52" s="80">
        <f>IFERROR(__xludf.DUMMYFUNCTION("+K52-SUM(O52:AL52)"),4250.0)</f>
        <v>4250</v>
      </c>
      <c r="O52" s="81">
        <v>0.0</v>
      </c>
      <c r="P52" s="88">
        <v>0.0</v>
      </c>
      <c r="Q52" s="89">
        <v>0.0</v>
      </c>
      <c r="R52" s="88">
        <v>0.0</v>
      </c>
      <c r="S52" s="89">
        <v>0.0</v>
      </c>
      <c r="T52" s="89">
        <v>0.0</v>
      </c>
      <c r="U52" s="89">
        <v>0.0</v>
      </c>
      <c r="V52" s="89">
        <v>0.0</v>
      </c>
      <c r="W52" s="89">
        <v>0.0</v>
      </c>
      <c r="X52" s="89">
        <v>0.0</v>
      </c>
      <c r="Y52" s="89">
        <v>0.0</v>
      </c>
      <c r="Z52" s="89">
        <v>0.0</v>
      </c>
      <c r="AA52" s="89">
        <v>0.0</v>
      </c>
      <c r="AB52" s="89">
        <v>0.0</v>
      </c>
      <c r="AC52" s="89">
        <v>0.0</v>
      </c>
      <c r="AD52" s="89">
        <v>0.0</v>
      </c>
      <c r="AE52" s="89">
        <v>0.0</v>
      </c>
      <c r="AF52" s="89">
        <v>0.0</v>
      </c>
      <c r="AG52" s="89">
        <v>0.0</v>
      </c>
      <c r="AH52" s="89">
        <v>0.0</v>
      </c>
      <c r="AI52" s="89">
        <v>0.0</v>
      </c>
      <c r="AJ52" s="89">
        <v>0.0</v>
      </c>
      <c r="AK52" s="90">
        <v>0.0</v>
      </c>
      <c r="AL52" s="85"/>
      <c r="AM52" s="85">
        <f t="shared" si="1"/>
        <v>0</v>
      </c>
      <c r="AN52" s="86">
        <f t="shared" si="2"/>
        <v>0</v>
      </c>
      <c r="AO52" s="13"/>
    </row>
    <row r="53" ht="30.0" customHeight="1">
      <c r="A53" s="4" t="str">
        <f>IFERROR(VLOOKUP(C53,'Product List'!$A$2:$C198,2,FALSE),"")</f>
        <v/>
      </c>
      <c r="B53" s="5" t="str">
        <f>IFERROR(VLOOKUP(C53,'Product List'!$A$2:$C198,3,FALSE),"")</f>
        <v/>
      </c>
      <c r="C53" s="6"/>
      <c r="D53" s="5"/>
      <c r="E53" s="76">
        <f>IFERROR(__xludf.DUMMYFUNCTION("+E52+1"),38.0)</f>
        <v>38</v>
      </c>
      <c r="F53" s="77" t="s">
        <v>394</v>
      </c>
      <c r="G53" s="78">
        <v>1600.0</v>
      </c>
      <c r="H53" s="78">
        <v>0.0</v>
      </c>
      <c r="I53" s="78">
        <f>IFERROR(__xludf.DUMMYFUNCTION("+G53-H53"),1600.0)</f>
        <v>1600</v>
      </c>
      <c r="J53" s="78">
        <v>0.0</v>
      </c>
      <c r="K53" s="78">
        <f>IFERROR(__xludf.DUMMYFUNCTION("+I53+J53"),1600.0)</f>
        <v>1600</v>
      </c>
      <c r="L53" s="79">
        <f>IFERROR(__xludf.DUMMYFUNCTION("+K53/$K$190"),1.1510791366906474E-4)</f>
        <v>0.0001151079137</v>
      </c>
      <c r="M53" s="78">
        <f>IFERROR(__xludf.DUMMYFUNCTION("+K53/$T$9"),0.01945832877278753)</f>
        <v>0.01945832877</v>
      </c>
      <c r="N53" s="80">
        <f>IFERROR(__xludf.DUMMYFUNCTION("+K53-SUM(O53:AL53)"),1600.0)</f>
        <v>1600</v>
      </c>
      <c r="O53" s="81">
        <v>0.0</v>
      </c>
      <c r="P53" s="88">
        <v>0.0</v>
      </c>
      <c r="Q53" s="89">
        <v>0.0</v>
      </c>
      <c r="R53" s="88">
        <v>0.0</v>
      </c>
      <c r="S53" s="89">
        <v>0.0</v>
      </c>
      <c r="T53" s="89">
        <v>0.0</v>
      </c>
      <c r="U53" s="89">
        <v>0.0</v>
      </c>
      <c r="V53" s="89">
        <v>0.0</v>
      </c>
      <c r="W53" s="89">
        <v>0.0</v>
      </c>
      <c r="X53" s="89">
        <v>0.0</v>
      </c>
      <c r="Y53" s="89">
        <v>0.0</v>
      </c>
      <c r="Z53" s="89">
        <v>0.0</v>
      </c>
      <c r="AA53" s="89">
        <v>0.0</v>
      </c>
      <c r="AB53" s="89">
        <v>0.0</v>
      </c>
      <c r="AC53" s="89">
        <v>0.0</v>
      </c>
      <c r="AD53" s="89">
        <v>0.0</v>
      </c>
      <c r="AE53" s="89">
        <v>0.0</v>
      </c>
      <c r="AF53" s="89">
        <v>0.0</v>
      </c>
      <c r="AG53" s="89">
        <v>0.0</v>
      </c>
      <c r="AH53" s="89">
        <v>0.0</v>
      </c>
      <c r="AI53" s="89">
        <v>0.0</v>
      </c>
      <c r="AJ53" s="89">
        <v>0.0</v>
      </c>
      <c r="AK53" s="90">
        <v>0.0</v>
      </c>
      <c r="AL53" s="85"/>
      <c r="AM53" s="85">
        <f t="shared" si="1"/>
        <v>0</v>
      </c>
      <c r="AN53" s="86">
        <f t="shared" si="2"/>
        <v>0</v>
      </c>
      <c r="AO53" s="13"/>
    </row>
    <row r="54" ht="30.0" customHeight="1">
      <c r="A54" s="4" t="str">
        <f>IFERROR(VLOOKUP(C54,'Product List'!$A$2:$C198,2,FALSE),"")</f>
        <v/>
      </c>
      <c r="B54" s="5" t="str">
        <f>IFERROR(VLOOKUP(C54,'Product List'!$A$2:$C198,3,FALSE),"")</f>
        <v/>
      </c>
      <c r="C54" s="6"/>
      <c r="D54" s="5"/>
      <c r="E54" s="76">
        <f>IFERROR(__xludf.DUMMYFUNCTION("+E53+1"),39.0)</f>
        <v>39</v>
      </c>
      <c r="F54" s="77" t="s">
        <v>395</v>
      </c>
      <c r="G54" s="78">
        <v>35000.0</v>
      </c>
      <c r="H54" s="78">
        <v>0.0</v>
      </c>
      <c r="I54" s="78">
        <f>IFERROR(__xludf.DUMMYFUNCTION("+G54-H54"),35000.0)</f>
        <v>35000</v>
      </c>
      <c r="J54" s="78">
        <v>0.0</v>
      </c>
      <c r="K54" s="78">
        <f>IFERROR(__xludf.DUMMYFUNCTION("+I54+J54"),35000.0)</f>
        <v>35000</v>
      </c>
      <c r="L54" s="79">
        <f>IFERROR(__xludf.DUMMYFUNCTION("+K54/$K$190"),0.002517985611510791)</f>
        <v>0.002517985612</v>
      </c>
      <c r="M54" s="78">
        <f>IFERROR(__xludf.DUMMYFUNCTION("+K54/$T$9"),0.42565094190472713)</f>
        <v>0.4256509419</v>
      </c>
      <c r="N54" s="80">
        <f>IFERROR(__xludf.DUMMYFUNCTION("+K54-SUM(O54:AL54)"),35000.0)</f>
        <v>35000</v>
      </c>
      <c r="O54" s="81">
        <v>0.0</v>
      </c>
      <c r="P54" s="88">
        <v>0.0</v>
      </c>
      <c r="Q54" s="89">
        <v>0.0</v>
      </c>
      <c r="R54" s="88">
        <v>0.0</v>
      </c>
      <c r="S54" s="89">
        <v>0.0</v>
      </c>
      <c r="T54" s="89">
        <v>0.0</v>
      </c>
      <c r="U54" s="89">
        <v>0.0</v>
      </c>
      <c r="V54" s="89">
        <v>0.0</v>
      </c>
      <c r="W54" s="89">
        <v>0.0</v>
      </c>
      <c r="X54" s="89">
        <v>0.0</v>
      </c>
      <c r="Y54" s="89">
        <v>0.0</v>
      </c>
      <c r="Z54" s="89">
        <v>0.0</v>
      </c>
      <c r="AA54" s="89">
        <v>0.0</v>
      </c>
      <c r="AB54" s="89">
        <v>0.0</v>
      </c>
      <c r="AC54" s="89">
        <v>0.0</v>
      </c>
      <c r="AD54" s="89">
        <v>0.0</v>
      </c>
      <c r="AE54" s="89">
        <v>0.0</v>
      </c>
      <c r="AF54" s="89">
        <v>0.0</v>
      </c>
      <c r="AG54" s="89">
        <v>0.0</v>
      </c>
      <c r="AH54" s="89">
        <v>0.0</v>
      </c>
      <c r="AI54" s="89">
        <v>0.0</v>
      </c>
      <c r="AJ54" s="89">
        <v>0.0</v>
      </c>
      <c r="AK54" s="90">
        <v>0.0</v>
      </c>
      <c r="AL54" s="85"/>
      <c r="AM54" s="85">
        <f t="shared" si="1"/>
        <v>0</v>
      </c>
      <c r="AN54" s="86">
        <f t="shared" si="2"/>
        <v>0</v>
      </c>
      <c r="AO54" s="13"/>
    </row>
    <row r="55" ht="30.0" customHeight="1">
      <c r="A55" s="4" t="str">
        <f>IFERROR(VLOOKUP(C55,'Product List'!$A$2:$C198,2,FALSE),"")</f>
        <v/>
      </c>
      <c r="B55" s="5" t="str">
        <f>IFERROR(VLOOKUP(C55,'Product List'!$A$2:$C198,3,FALSE),"")</f>
        <v/>
      </c>
      <c r="C55" s="6"/>
      <c r="D55" s="5"/>
      <c r="E55" s="76">
        <f>IFERROR(__xludf.DUMMYFUNCTION("+E54+1"),40.0)</f>
        <v>40</v>
      </c>
      <c r="F55" s="77" t="s">
        <v>396</v>
      </c>
      <c r="G55" s="78">
        <v>7500.0</v>
      </c>
      <c r="H55" s="78">
        <v>0.0</v>
      </c>
      <c r="I55" s="78">
        <f>IFERROR(__xludf.DUMMYFUNCTION("+G55-H55"),7500.0)</f>
        <v>7500</v>
      </c>
      <c r="J55" s="78">
        <v>0.0</v>
      </c>
      <c r="K55" s="78">
        <f>IFERROR(__xludf.DUMMYFUNCTION("+I55+J55"),7500.0)</f>
        <v>7500</v>
      </c>
      <c r="L55" s="79">
        <f>IFERROR(__xludf.DUMMYFUNCTION("+K55/$K$190"),5.39568345323741E-4)</f>
        <v>0.0005395683453</v>
      </c>
      <c r="M55" s="78">
        <f>IFERROR(__xludf.DUMMYFUNCTION("+K55/$T$9"),0.09121091612244153)</f>
        <v>0.09121091612</v>
      </c>
      <c r="N55" s="80">
        <f>IFERROR(__xludf.DUMMYFUNCTION("+K55-SUM(O55:AL55)"),7500.0)</f>
        <v>7500</v>
      </c>
      <c r="O55" s="81">
        <v>0.0</v>
      </c>
      <c r="P55" s="88">
        <v>0.0</v>
      </c>
      <c r="Q55" s="89">
        <v>0.0</v>
      </c>
      <c r="R55" s="88">
        <v>0.0</v>
      </c>
      <c r="S55" s="89">
        <v>0.0</v>
      </c>
      <c r="T55" s="89">
        <v>0.0</v>
      </c>
      <c r="U55" s="89">
        <v>0.0</v>
      </c>
      <c r="V55" s="89">
        <v>0.0</v>
      </c>
      <c r="W55" s="89">
        <v>0.0</v>
      </c>
      <c r="X55" s="89">
        <v>0.0</v>
      </c>
      <c r="Y55" s="89">
        <v>0.0</v>
      </c>
      <c r="Z55" s="89">
        <v>0.0</v>
      </c>
      <c r="AA55" s="89">
        <v>0.0</v>
      </c>
      <c r="AB55" s="89">
        <v>0.0</v>
      </c>
      <c r="AC55" s="89">
        <v>0.0</v>
      </c>
      <c r="AD55" s="89">
        <v>0.0</v>
      </c>
      <c r="AE55" s="89">
        <v>0.0</v>
      </c>
      <c r="AF55" s="89">
        <v>0.0</v>
      </c>
      <c r="AG55" s="89">
        <v>0.0</v>
      </c>
      <c r="AH55" s="89">
        <v>0.0</v>
      </c>
      <c r="AI55" s="89">
        <v>0.0</v>
      </c>
      <c r="AJ55" s="89">
        <v>0.0</v>
      </c>
      <c r="AK55" s="90">
        <v>0.0</v>
      </c>
      <c r="AL55" s="85"/>
      <c r="AM55" s="85">
        <f t="shared" si="1"/>
        <v>0</v>
      </c>
      <c r="AN55" s="86">
        <f t="shared" si="2"/>
        <v>0</v>
      </c>
      <c r="AO55" s="13"/>
    </row>
    <row r="56" ht="30.0" customHeight="1">
      <c r="A56" s="4" t="str">
        <f>IFERROR(VLOOKUP(C56,'Product List'!$A$2:$C198,2,FALSE),"")</f>
        <v/>
      </c>
      <c r="B56" s="5" t="str">
        <f>IFERROR(VLOOKUP(C56,'Product List'!$A$2:$C198,3,FALSE),"")</f>
        <v/>
      </c>
      <c r="C56" s="6"/>
      <c r="D56" s="5"/>
      <c r="E56" s="76">
        <f>IFERROR(__xludf.DUMMYFUNCTION("+E55+1"),41.0)</f>
        <v>41</v>
      </c>
      <c r="F56" s="77" t="s">
        <v>397</v>
      </c>
      <c r="G56" s="78">
        <v>16000.0</v>
      </c>
      <c r="H56" s="78">
        <v>0.0</v>
      </c>
      <c r="I56" s="78">
        <f>IFERROR(__xludf.DUMMYFUNCTION("+G56-H56"),16000.0)</f>
        <v>16000</v>
      </c>
      <c r="J56" s="78">
        <v>0.0</v>
      </c>
      <c r="K56" s="78">
        <f>IFERROR(__xludf.DUMMYFUNCTION("+I56+J56"),16000.0)</f>
        <v>16000</v>
      </c>
      <c r="L56" s="79">
        <f>IFERROR(__xludf.DUMMYFUNCTION("+K56/$K$190"),0.0011510791366906475)</f>
        <v>0.001151079137</v>
      </c>
      <c r="M56" s="78">
        <f>IFERROR(__xludf.DUMMYFUNCTION("+K56/$T$9"),0.19458328772787528)</f>
        <v>0.1945832877</v>
      </c>
      <c r="N56" s="80">
        <f>IFERROR(__xludf.DUMMYFUNCTION("+K56-SUM(O56:AL56)"),16000.0)</f>
        <v>16000</v>
      </c>
      <c r="O56" s="81">
        <v>0.0</v>
      </c>
      <c r="P56" s="88">
        <v>0.0</v>
      </c>
      <c r="Q56" s="89">
        <v>0.0</v>
      </c>
      <c r="R56" s="88">
        <v>0.0</v>
      </c>
      <c r="S56" s="89">
        <v>0.0</v>
      </c>
      <c r="T56" s="89">
        <v>0.0</v>
      </c>
      <c r="U56" s="89">
        <v>0.0</v>
      </c>
      <c r="V56" s="89">
        <v>0.0</v>
      </c>
      <c r="W56" s="89">
        <v>0.0</v>
      </c>
      <c r="X56" s="89">
        <v>0.0</v>
      </c>
      <c r="Y56" s="89">
        <v>0.0</v>
      </c>
      <c r="Z56" s="89">
        <v>0.0</v>
      </c>
      <c r="AA56" s="89">
        <v>0.0</v>
      </c>
      <c r="AB56" s="89">
        <v>0.0</v>
      </c>
      <c r="AC56" s="89">
        <v>0.0</v>
      </c>
      <c r="AD56" s="89">
        <v>0.0</v>
      </c>
      <c r="AE56" s="89">
        <v>0.0</v>
      </c>
      <c r="AF56" s="89">
        <v>0.0</v>
      </c>
      <c r="AG56" s="89">
        <v>0.0</v>
      </c>
      <c r="AH56" s="89">
        <v>0.0</v>
      </c>
      <c r="AI56" s="89">
        <v>0.0</v>
      </c>
      <c r="AJ56" s="89">
        <v>0.0</v>
      </c>
      <c r="AK56" s="90">
        <v>0.0</v>
      </c>
      <c r="AL56" s="85"/>
      <c r="AM56" s="85">
        <f t="shared" si="1"/>
        <v>0</v>
      </c>
      <c r="AN56" s="86">
        <f t="shared" si="2"/>
        <v>0</v>
      </c>
      <c r="AO56" s="13"/>
    </row>
    <row r="57" ht="30.0" customHeight="1">
      <c r="A57" s="4" t="str">
        <f>IFERROR(VLOOKUP(C57,'Product List'!$A$2:$C198,2,FALSE),"")</f>
        <v/>
      </c>
      <c r="B57" s="5" t="str">
        <f>IFERROR(VLOOKUP(C57,'Product List'!$A$2:$C198,3,FALSE),"")</f>
        <v/>
      </c>
      <c r="C57" s="6"/>
      <c r="D57" s="5"/>
      <c r="E57" s="76">
        <f>IFERROR(__xludf.DUMMYFUNCTION("+E56+1"),42.0)</f>
        <v>42</v>
      </c>
      <c r="F57" s="77" t="s">
        <v>398</v>
      </c>
      <c r="G57" s="78">
        <v>5000.0</v>
      </c>
      <c r="H57" s="78">
        <v>0.0</v>
      </c>
      <c r="I57" s="78">
        <f>IFERROR(__xludf.DUMMYFUNCTION("+G57-H57"),5000.0)</f>
        <v>5000</v>
      </c>
      <c r="J57" s="78">
        <v>0.0</v>
      </c>
      <c r="K57" s="78">
        <f>IFERROR(__xludf.DUMMYFUNCTION("+I57+J57"),5000.0)</f>
        <v>5000</v>
      </c>
      <c r="L57" s="79">
        <f>IFERROR(__xludf.DUMMYFUNCTION("+K57/$K$190"),3.5971223021582735E-4)</f>
        <v>0.0003597122302</v>
      </c>
      <c r="M57" s="78">
        <f>IFERROR(__xludf.DUMMYFUNCTION("+K57/$T$9"),0.060807277414961024)</f>
        <v>0.06080727741</v>
      </c>
      <c r="N57" s="80">
        <f>IFERROR(__xludf.DUMMYFUNCTION("+K57-SUM(O57:AL57)"),5000.0)</f>
        <v>5000</v>
      </c>
      <c r="O57" s="81">
        <v>0.0</v>
      </c>
      <c r="P57" s="88">
        <v>0.0</v>
      </c>
      <c r="Q57" s="89">
        <v>0.0</v>
      </c>
      <c r="R57" s="88">
        <v>0.0</v>
      </c>
      <c r="S57" s="89">
        <v>0.0</v>
      </c>
      <c r="T57" s="89">
        <v>0.0</v>
      </c>
      <c r="U57" s="89">
        <v>0.0</v>
      </c>
      <c r="V57" s="89">
        <v>0.0</v>
      </c>
      <c r="W57" s="89">
        <v>0.0</v>
      </c>
      <c r="X57" s="89">
        <v>0.0</v>
      </c>
      <c r="Y57" s="89">
        <v>0.0</v>
      </c>
      <c r="Z57" s="89">
        <v>0.0</v>
      </c>
      <c r="AA57" s="89">
        <v>0.0</v>
      </c>
      <c r="AB57" s="89">
        <v>0.0</v>
      </c>
      <c r="AC57" s="89">
        <v>0.0</v>
      </c>
      <c r="AD57" s="89">
        <v>0.0</v>
      </c>
      <c r="AE57" s="89">
        <v>0.0</v>
      </c>
      <c r="AF57" s="89">
        <v>0.0</v>
      </c>
      <c r="AG57" s="89">
        <v>0.0</v>
      </c>
      <c r="AH57" s="89">
        <v>0.0</v>
      </c>
      <c r="AI57" s="89">
        <v>0.0</v>
      </c>
      <c r="AJ57" s="89">
        <v>0.0</v>
      </c>
      <c r="AK57" s="90">
        <v>0.0</v>
      </c>
      <c r="AL57" s="85"/>
      <c r="AM57" s="85">
        <f t="shared" si="1"/>
        <v>0</v>
      </c>
      <c r="AN57" s="86">
        <f t="shared" si="2"/>
        <v>0</v>
      </c>
      <c r="AO57" s="13"/>
    </row>
    <row r="58" ht="30.0" customHeight="1">
      <c r="A58" s="4" t="str">
        <f>IFERROR(VLOOKUP(C58,'Product List'!$A$2:$C198,2,FALSE),"")</f>
        <v/>
      </c>
      <c r="B58" s="5" t="str">
        <f>IFERROR(VLOOKUP(C58,'Product List'!$A$2:$C198,3,FALSE),"")</f>
        <v/>
      </c>
      <c r="C58" s="6"/>
      <c r="D58" s="5"/>
      <c r="E58" s="76">
        <f>IFERROR(__xludf.DUMMYFUNCTION("+E57+1"),43.0)</f>
        <v>43</v>
      </c>
      <c r="F58" s="77" t="s">
        <v>399</v>
      </c>
      <c r="G58" s="78">
        <v>25000.0</v>
      </c>
      <c r="H58" s="78">
        <v>0.0</v>
      </c>
      <c r="I58" s="78">
        <f>IFERROR(__xludf.DUMMYFUNCTION("+G58-H58"),25000.0)</f>
        <v>25000</v>
      </c>
      <c r="J58" s="78">
        <v>0.0</v>
      </c>
      <c r="K58" s="78">
        <f>IFERROR(__xludf.DUMMYFUNCTION("+I58+J58"),25000.0)</f>
        <v>25000</v>
      </c>
      <c r="L58" s="79">
        <f>IFERROR(__xludf.DUMMYFUNCTION("+K58/$K$190"),0.0017985611510791368)</f>
        <v>0.001798561151</v>
      </c>
      <c r="M58" s="78">
        <f>IFERROR(__xludf.DUMMYFUNCTION("+K58/$T$9"),0.3040363870748051)</f>
        <v>0.3040363871</v>
      </c>
      <c r="N58" s="80">
        <f>IFERROR(__xludf.DUMMYFUNCTION("+K58-SUM(O58:AL58)"),25000.0)</f>
        <v>25000</v>
      </c>
      <c r="O58" s="81">
        <v>0.0</v>
      </c>
      <c r="P58" s="88">
        <v>0.0</v>
      </c>
      <c r="Q58" s="89">
        <v>0.0</v>
      </c>
      <c r="R58" s="88">
        <v>0.0</v>
      </c>
      <c r="S58" s="89">
        <v>0.0</v>
      </c>
      <c r="T58" s="89">
        <v>0.0</v>
      </c>
      <c r="U58" s="89">
        <v>0.0</v>
      </c>
      <c r="V58" s="89">
        <v>0.0</v>
      </c>
      <c r="W58" s="89">
        <v>0.0</v>
      </c>
      <c r="X58" s="89">
        <v>0.0</v>
      </c>
      <c r="Y58" s="89">
        <v>0.0</v>
      </c>
      <c r="Z58" s="89">
        <v>0.0</v>
      </c>
      <c r="AA58" s="89">
        <v>0.0</v>
      </c>
      <c r="AB58" s="89">
        <v>0.0</v>
      </c>
      <c r="AC58" s="89">
        <v>0.0</v>
      </c>
      <c r="AD58" s="89">
        <v>0.0</v>
      </c>
      <c r="AE58" s="89">
        <v>0.0</v>
      </c>
      <c r="AF58" s="89">
        <v>0.0</v>
      </c>
      <c r="AG58" s="89">
        <v>0.0</v>
      </c>
      <c r="AH58" s="89">
        <v>0.0</v>
      </c>
      <c r="AI58" s="89">
        <v>0.0</v>
      </c>
      <c r="AJ58" s="89">
        <v>0.0</v>
      </c>
      <c r="AK58" s="90">
        <v>0.0</v>
      </c>
      <c r="AL58" s="85"/>
      <c r="AM58" s="85">
        <f t="shared" si="1"/>
        <v>0</v>
      </c>
      <c r="AN58" s="86">
        <f t="shared" si="2"/>
        <v>0</v>
      </c>
      <c r="AO58" s="13"/>
    </row>
    <row r="59" ht="30.0" customHeight="1">
      <c r="A59" s="4" t="str">
        <f>IFERROR(VLOOKUP(C59,'Product List'!$A$2:$C198,2,FALSE),"")</f>
        <v/>
      </c>
      <c r="B59" s="5" t="str">
        <f>IFERROR(VLOOKUP(C59,'Product List'!$A$2:$C198,3,FALSE),"")</f>
        <v/>
      </c>
      <c r="C59" s="6"/>
      <c r="D59" s="5"/>
      <c r="E59" s="76">
        <f>IFERROR(__xludf.DUMMYFUNCTION("+E58+1"),44.0)</f>
        <v>44</v>
      </c>
      <c r="F59" s="77" t="s">
        <v>400</v>
      </c>
      <c r="G59" s="78">
        <v>6000.0</v>
      </c>
      <c r="H59" s="78">
        <v>0.0</v>
      </c>
      <c r="I59" s="78">
        <f>IFERROR(__xludf.DUMMYFUNCTION("+G59-H59"),6000.0)</f>
        <v>6000</v>
      </c>
      <c r="J59" s="78">
        <v>0.0</v>
      </c>
      <c r="K59" s="78">
        <f>IFERROR(__xludf.DUMMYFUNCTION("+I59+J59"),6000.0)</f>
        <v>6000</v>
      </c>
      <c r="L59" s="79">
        <f>IFERROR(__xludf.DUMMYFUNCTION("+K59/$K$190"),4.316546762589928E-4)</f>
        <v>0.0004316546763</v>
      </c>
      <c r="M59" s="78">
        <f>IFERROR(__xludf.DUMMYFUNCTION("+K59/$T$9"),0.07296873289795322)</f>
        <v>0.0729687329</v>
      </c>
      <c r="N59" s="80">
        <f>IFERROR(__xludf.DUMMYFUNCTION("+K59-SUM(O59:AL59)"),6000.0)</f>
        <v>6000</v>
      </c>
      <c r="O59" s="81">
        <v>0.0</v>
      </c>
      <c r="P59" s="88">
        <v>0.0</v>
      </c>
      <c r="Q59" s="89">
        <v>0.0</v>
      </c>
      <c r="R59" s="88">
        <v>0.0</v>
      </c>
      <c r="S59" s="89">
        <v>0.0</v>
      </c>
      <c r="T59" s="89">
        <v>0.0</v>
      </c>
      <c r="U59" s="89">
        <v>0.0</v>
      </c>
      <c r="V59" s="89">
        <v>0.0</v>
      </c>
      <c r="W59" s="89">
        <v>0.0</v>
      </c>
      <c r="X59" s="89">
        <v>0.0</v>
      </c>
      <c r="Y59" s="89">
        <v>0.0</v>
      </c>
      <c r="Z59" s="89">
        <v>0.0</v>
      </c>
      <c r="AA59" s="89">
        <v>0.0</v>
      </c>
      <c r="AB59" s="89">
        <v>0.0</v>
      </c>
      <c r="AC59" s="89">
        <v>0.0</v>
      </c>
      <c r="AD59" s="89">
        <v>0.0</v>
      </c>
      <c r="AE59" s="89">
        <v>0.0</v>
      </c>
      <c r="AF59" s="89">
        <v>0.0</v>
      </c>
      <c r="AG59" s="89">
        <v>0.0</v>
      </c>
      <c r="AH59" s="89">
        <v>0.0</v>
      </c>
      <c r="AI59" s="89">
        <v>0.0</v>
      </c>
      <c r="AJ59" s="89">
        <v>0.0</v>
      </c>
      <c r="AK59" s="90">
        <v>0.0</v>
      </c>
      <c r="AL59" s="85"/>
      <c r="AM59" s="85">
        <f t="shared" si="1"/>
        <v>0</v>
      </c>
      <c r="AN59" s="86">
        <f t="shared" si="2"/>
        <v>0</v>
      </c>
      <c r="AO59" s="13"/>
    </row>
    <row r="60" ht="30.0" customHeight="1">
      <c r="A60" s="4" t="str">
        <f>IFERROR(VLOOKUP(C60,'Product List'!$A$2:$C198,2,FALSE),"")</f>
        <v/>
      </c>
      <c r="B60" s="5" t="str">
        <f>IFERROR(VLOOKUP(C60,'Product List'!$A$2:$C198,3,FALSE),"")</f>
        <v/>
      </c>
      <c r="C60" s="6"/>
      <c r="D60" s="5"/>
      <c r="E60" s="76">
        <f>IFERROR(__xludf.DUMMYFUNCTION("+E59+1"),45.0)</f>
        <v>45</v>
      </c>
      <c r="F60" s="77" t="s">
        <v>401</v>
      </c>
      <c r="G60" s="78">
        <v>30000.0</v>
      </c>
      <c r="H60" s="78">
        <v>0.0</v>
      </c>
      <c r="I60" s="78">
        <f>IFERROR(__xludf.DUMMYFUNCTION("+G60-H60"),30000.0)</f>
        <v>30000</v>
      </c>
      <c r="J60" s="78">
        <v>0.0</v>
      </c>
      <c r="K60" s="78">
        <f>IFERROR(__xludf.DUMMYFUNCTION("+I60+J60"),30000.0)</f>
        <v>30000</v>
      </c>
      <c r="L60" s="79">
        <f>IFERROR(__xludf.DUMMYFUNCTION("+K60/$K$190"),0.002158273381294964)</f>
        <v>0.002158273381</v>
      </c>
      <c r="M60" s="78">
        <f>IFERROR(__xludf.DUMMYFUNCTION("+K60/$T$9"),0.36484366448976613)</f>
        <v>0.3648436645</v>
      </c>
      <c r="N60" s="80">
        <f>IFERROR(__xludf.DUMMYFUNCTION("+K60-SUM(O60:AL60)"),30000.0)</f>
        <v>30000</v>
      </c>
      <c r="O60" s="81">
        <v>0.0</v>
      </c>
      <c r="P60" s="88">
        <v>0.0</v>
      </c>
      <c r="Q60" s="89">
        <v>0.0</v>
      </c>
      <c r="R60" s="88">
        <v>0.0</v>
      </c>
      <c r="S60" s="89">
        <v>0.0</v>
      </c>
      <c r="T60" s="89">
        <v>0.0</v>
      </c>
      <c r="U60" s="89">
        <v>0.0</v>
      </c>
      <c r="V60" s="89">
        <v>0.0</v>
      </c>
      <c r="W60" s="89">
        <v>0.0</v>
      </c>
      <c r="X60" s="89">
        <v>0.0</v>
      </c>
      <c r="Y60" s="89">
        <v>0.0</v>
      </c>
      <c r="Z60" s="89">
        <v>0.0</v>
      </c>
      <c r="AA60" s="89">
        <v>0.0</v>
      </c>
      <c r="AB60" s="89">
        <v>0.0</v>
      </c>
      <c r="AC60" s="89">
        <v>0.0</v>
      </c>
      <c r="AD60" s="89">
        <v>0.0</v>
      </c>
      <c r="AE60" s="89">
        <v>0.0</v>
      </c>
      <c r="AF60" s="89">
        <v>0.0</v>
      </c>
      <c r="AG60" s="89">
        <v>0.0</v>
      </c>
      <c r="AH60" s="89">
        <v>0.0</v>
      </c>
      <c r="AI60" s="89">
        <v>0.0</v>
      </c>
      <c r="AJ60" s="89">
        <v>0.0</v>
      </c>
      <c r="AK60" s="90">
        <v>0.0</v>
      </c>
      <c r="AL60" s="85"/>
      <c r="AM60" s="85">
        <f t="shared" si="1"/>
        <v>0</v>
      </c>
      <c r="AN60" s="86">
        <f t="shared" si="2"/>
        <v>0</v>
      </c>
      <c r="AO60" s="13"/>
    </row>
    <row r="61" ht="30.0" customHeight="1">
      <c r="A61" s="4" t="str">
        <f>IFERROR(VLOOKUP(C61,'Product List'!$A$2:$C198,2,FALSE),"")</f>
        <v/>
      </c>
      <c r="B61" s="5" t="str">
        <f>IFERROR(VLOOKUP(C61,'Product List'!$A$2:$C198,3,FALSE),"")</f>
        <v/>
      </c>
      <c r="C61" s="6"/>
      <c r="D61" s="5"/>
      <c r="E61" s="76">
        <f>IFERROR(__xludf.DUMMYFUNCTION("+E60+1"),46.0)</f>
        <v>46</v>
      </c>
      <c r="F61" s="77" t="s">
        <v>402</v>
      </c>
      <c r="G61" s="78">
        <v>2450.0</v>
      </c>
      <c r="H61" s="78">
        <v>0.0</v>
      </c>
      <c r="I61" s="78">
        <f>IFERROR(__xludf.DUMMYFUNCTION("+G61-H61"),2450.0)</f>
        <v>2450</v>
      </c>
      <c r="J61" s="78">
        <v>0.0</v>
      </c>
      <c r="K61" s="78">
        <f>IFERROR(__xludf.DUMMYFUNCTION("+I61+J61"),2450.0)</f>
        <v>2450</v>
      </c>
      <c r="L61" s="79">
        <f>IFERROR(__xludf.DUMMYFUNCTION("+K61/$K$190"),1.762589928057554E-4)</f>
        <v>0.0001762589928</v>
      </c>
      <c r="M61" s="78">
        <f>IFERROR(__xludf.DUMMYFUNCTION("+K61/$T$9"),0.0297955659333309)</f>
        <v>0.02979556593</v>
      </c>
      <c r="N61" s="80">
        <f>IFERROR(__xludf.DUMMYFUNCTION("+K61-SUM(O61:AL61)"),2450.0)</f>
        <v>2450</v>
      </c>
      <c r="O61" s="81">
        <v>0.0</v>
      </c>
      <c r="P61" s="88">
        <v>0.0</v>
      </c>
      <c r="Q61" s="89">
        <v>0.0</v>
      </c>
      <c r="R61" s="88">
        <v>0.0</v>
      </c>
      <c r="S61" s="89">
        <v>0.0</v>
      </c>
      <c r="T61" s="89">
        <v>0.0</v>
      </c>
      <c r="U61" s="89">
        <v>0.0</v>
      </c>
      <c r="V61" s="89">
        <v>0.0</v>
      </c>
      <c r="W61" s="89">
        <v>0.0</v>
      </c>
      <c r="X61" s="89">
        <v>0.0</v>
      </c>
      <c r="Y61" s="89">
        <v>0.0</v>
      </c>
      <c r="Z61" s="89">
        <v>0.0</v>
      </c>
      <c r="AA61" s="89">
        <v>0.0</v>
      </c>
      <c r="AB61" s="89">
        <v>0.0</v>
      </c>
      <c r="AC61" s="89">
        <v>0.0</v>
      </c>
      <c r="AD61" s="89">
        <v>0.0</v>
      </c>
      <c r="AE61" s="89">
        <v>0.0</v>
      </c>
      <c r="AF61" s="89">
        <v>0.0</v>
      </c>
      <c r="AG61" s="89">
        <v>0.0</v>
      </c>
      <c r="AH61" s="89">
        <v>0.0</v>
      </c>
      <c r="AI61" s="89">
        <v>0.0</v>
      </c>
      <c r="AJ61" s="89">
        <v>0.0</v>
      </c>
      <c r="AK61" s="90">
        <v>0.0</v>
      </c>
      <c r="AL61" s="85"/>
      <c r="AM61" s="85">
        <f t="shared" si="1"/>
        <v>0</v>
      </c>
      <c r="AN61" s="86">
        <f t="shared" si="2"/>
        <v>0</v>
      </c>
      <c r="AO61" s="13"/>
    </row>
    <row r="62" ht="30.0" customHeight="1">
      <c r="A62" s="4" t="str">
        <f>IFERROR(VLOOKUP(C62,'Product List'!$A$2:$C198,2,FALSE),"")</f>
        <v/>
      </c>
      <c r="B62" s="5" t="str">
        <f>IFERROR(VLOOKUP(C62,'Product List'!$A$2:$C198,3,FALSE),"")</f>
        <v/>
      </c>
      <c r="C62" s="6"/>
      <c r="D62" s="5"/>
      <c r="E62" s="76">
        <f>IFERROR(__xludf.DUMMYFUNCTION("+E61+1"),47.0)</f>
        <v>47</v>
      </c>
      <c r="F62" s="77" t="s">
        <v>403</v>
      </c>
      <c r="G62" s="78">
        <v>125000.0</v>
      </c>
      <c r="H62" s="78">
        <v>0.0</v>
      </c>
      <c r="I62" s="78">
        <f>IFERROR(__xludf.DUMMYFUNCTION("+G62-H62"),125000.0)</f>
        <v>125000</v>
      </c>
      <c r="J62" s="78">
        <v>0.0</v>
      </c>
      <c r="K62" s="78">
        <f>IFERROR(__xludf.DUMMYFUNCTION("+I62+J62"),125000.0)</f>
        <v>125000</v>
      </c>
      <c r="L62" s="79">
        <f>IFERROR(__xludf.DUMMYFUNCTION("+K62/$K$190"),0.008992805755395683)</f>
        <v>0.008992805755</v>
      </c>
      <c r="M62" s="78">
        <f>IFERROR(__xludf.DUMMYFUNCTION("+K62/$T$9"),1.5201819353740256)</f>
        <v>1.520181935</v>
      </c>
      <c r="N62" s="80">
        <f>IFERROR(__xludf.DUMMYFUNCTION("+K62-SUM(O62:AL62)"),125000.0)</f>
        <v>125000</v>
      </c>
      <c r="O62" s="81">
        <v>0.0</v>
      </c>
      <c r="P62" s="88">
        <v>0.0</v>
      </c>
      <c r="Q62" s="89">
        <v>0.0</v>
      </c>
      <c r="R62" s="88">
        <v>0.0</v>
      </c>
      <c r="S62" s="89">
        <v>0.0</v>
      </c>
      <c r="T62" s="89">
        <v>0.0</v>
      </c>
      <c r="U62" s="89">
        <v>0.0</v>
      </c>
      <c r="V62" s="89">
        <v>0.0</v>
      </c>
      <c r="W62" s="89">
        <v>0.0</v>
      </c>
      <c r="X62" s="89">
        <v>0.0</v>
      </c>
      <c r="Y62" s="89">
        <v>0.0</v>
      </c>
      <c r="Z62" s="89">
        <v>0.0</v>
      </c>
      <c r="AA62" s="89">
        <v>0.0</v>
      </c>
      <c r="AB62" s="89">
        <v>0.0</v>
      </c>
      <c r="AC62" s="89">
        <v>0.0</v>
      </c>
      <c r="AD62" s="89">
        <v>0.0</v>
      </c>
      <c r="AE62" s="89">
        <v>0.0</v>
      </c>
      <c r="AF62" s="89">
        <v>0.0</v>
      </c>
      <c r="AG62" s="89">
        <v>0.0</v>
      </c>
      <c r="AH62" s="89">
        <v>0.0</v>
      </c>
      <c r="AI62" s="89">
        <v>0.0</v>
      </c>
      <c r="AJ62" s="89">
        <v>0.0</v>
      </c>
      <c r="AK62" s="90">
        <v>0.0</v>
      </c>
      <c r="AL62" s="85"/>
      <c r="AM62" s="85">
        <f t="shared" si="1"/>
        <v>0</v>
      </c>
      <c r="AN62" s="86">
        <f t="shared" si="2"/>
        <v>0</v>
      </c>
      <c r="AO62" s="13"/>
    </row>
    <row r="63" ht="30.0" customHeight="1">
      <c r="A63" s="4" t="str">
        <f>IFERROR(VLOOKUP(C63,'Product List'!$A$2:$C198,2,FALSE),"")</f>
        <v/>
      </c>
      <c r="B63" s="5" t="str">
        <f>IFERROR(VLOOKUP(C63,'Product List'!$A$2:$C198,3,FALSE),"")</f>
        <v/>
      </c>
      <c r="C63" s="6"/>
      <c r="D63" s="5"/>
      <c r="E63" s="76">
        <f>IFERROR(__xludf.DUMMYFUNCTION("+E62+1"),48.0)</f>
        <v>48</v>
      </c>
      <c r="F63" s="77" t="s">
        <v>6</v>
      </c>
      <c r="G63" s="78">
        <v>264800.0</v>
      </c>
      <c r="H63" s="78">
        <v>0.0</v>
      </c>
      <c r="I63" s="78">
        <f>IFERROR(__xludf.DUMMYFUNCTION("+G63-H63"),264800.0)</f>
        <v>264800</v>
      </c>
      <c r="J63" s="78">
        <v>0.0</v>
      </c>
      <c r="K63" s="78">
        <f>IFERROR(__xludf.DUMMYFUNCTION("+I63+J63"),264800.0)</f>
        <v>264800</v>
      </c>
      <c r="L63" s="79">
        <f>IFERROR(__xludf.DUMMYFUNCTION("+K63/$K$190"),0.019050359712230215)</f>
        <v>0.01905035971</v>
      </c>
      <c r="M63" s="78">
        <f>IFERROR(__xludf.DUMMYFUNCTION("+K63/$T$9"),3.220353411896336)</f>
        <v>3.220353412</v>
      </c>
      <c r="N63" s="80">
        <f>IFERROR(__xludf.DUMMYFUNCTION("+K63-SUM(O63:AL63)"),264800.0)</f>
        <v>264800</v>
      </c>
      <c r="O63" s="81">
        <v>0.0</v>
      </c>
      <c r="P63" s="88">
        <v>0.0</v>
      </c>
      <c r="Q63" s="89">
        <v>0.0</v>
      </c>
      <c r="R63" s="88">
        <v>0.0</v>
      </c>
      <c r="S63" s="89">
        <v>0.0</v>
      </c>
      <c r="T63" s="89">
        <v>0.0</v>
      </c>
      <c r="U63" s="89">
        <v>0.0</v>
      </c>
      <c r="V63" s="89">
        <v>0.0</v>
      </c>
      <c r="W63" s="89">
        <v>0.0</v>
      </c>
      <c r="X63" s="89">
        <v>0.0</v>
      </c>
      <c r="Y63" s="89">
        <v>0.0</v>
      </c>
      <c r="Z63" s="89">
        <v>0.0</v>
      </c>
      <c r="AA63" s="89">
        <v>0.0</v>
      </c>
      <c r="AB63" s="89">
        <v>0.0</v>
      </c>
      <c r="AC63" s="89">
        <v>0.0</v>
      </c>
      <c r="AD63" s="89">
        <v>0.0</v>
      </c>
      <c r="AE63" s="89">
        <v>0.0</v>
      </c>
      <c r="AF63" s="89">
        <v>0.0</v>
      </c>
      <c r="AG63" s="89">
        <v>0.0</v>
      </c>
      <c r="AH63" s="89">
        <v>0.0</v>
      </c>
      <c r="AI63" s="89">
        <v>0.0</v>
      </c>
      <c r="AJ63" s="89">
        <v>0.0</v>
      </c>
      <c r="AK63" s="90">
        <v>0.0</v>
      </c>
      <c r="AL63" s="85"/>
      <c r="AM63" s="85">
        <f t="shared" si="1"/>
        <v>0</v>
      </c>
      <c r="AN63" s="86">
        <f t="shared" si="2"/>
        <v>0</v>
      </c>
      <c r="AO63" s="13"/>
    </row>
    <row r="64" ht="30.0" customHeight="1">
      <c r="A64" s="4" t="str">
        <f>IFERROR(VLOOKUP(C64,'Product List'!$A$2:$C198,2,FALSE),"")</f>
        <v/>
      </c>
      <c r="B64" s="5" t="str">
        <f>IFERROR(VLOOKUP(C64,'Product List'!$A$2:$C198,3,FALSE),"")</f>
        <v/>
      </c>
      <c r="C64" s="6"/>
      <c r="D64" s="5"/>
      <c r="E64" s="76">
        <f>IFERROR(__xludf.DUMMYFUNCTION("+E63+1"),49.0)</f>
        <v>49</v>
      </c>
      <c r="F64" s="77" t="s">
        <v>404</v>
      </c>
      <c r="G64" s="78">
        <v>7500.0</v>
      </c>
      <c r="H64" s="78">
        <v>0.0</v>
      </c>
      <c r="I64" s="78">
        <f>IFERROR(__xludf.DUMMYFUNCTION("+G64-H64"),7500.0)</f>
        <v>7500</v>
      </c>
      <c r="J64" s="78">
        <v>0.0</v>
      </c>
      <c r="K64" s="78">
        <f>IFERROR(__xludf.DUMMYFUNCTION("+I64+J64"),7500.0)</f>
        <v>7500</v>
      </c>
      <c r="L64" s="79">
        <f>IFERROR(__xludf.DUMMYFUNCTION("+K64/$K$190"),5.39568345323741E-4)</f>
        <v>0.0005395683453</v>
      </c>
      <c r="M64" s="78">
        <f>IFERROR(__xludf.DUMMYFUNCTION("+K64/$T$9"),0.09121091612244153)</f>
        <v>0.09121091612</v>
      </c>
      <c r="N64" s="80">
        <f>IFERROR(__xludf.DUMMYFUNCTION("+K64-SUM(O64:AL64)"),7500.0)</f>
        <v>7500</v>
      </c>
      <c r="O64" s="81">
        <v>0.0</v>
      </c>
      <c r="P64" s="88">
        <v>0.0</v>
      </c>
      <c r="Q64" s="89">
        <v>0.0</v>
      </c>
      <c r="R64" s="88">
        <v>0.0</v>
      </c>
      <c r="S64" s="89">
        <v>0.0</v>
      </c>
      <c r="T64" s="89">
        <v>0.0</v>
      </c>
      <c r="U64" s="89">
        <v>0.0</v>
      </c>
      <c r="V64" s="89">
        <v>0.0</v>
      </c>
      <c r="W64" s="89">
        <v>0.0</v>
      </c>
      <c r="X64" s="89">
        <v>0.0</v>
      </c>
      <c r="Y64" s="89">
        <v>0.0</v>
      </c>
      <c r="Z64" s="89">
        <v>0.0</v>
      </c>
      <c r="AA64" s="89">
        <v>0.0</v>
      </c>
      <c r="AB64" s="89">
        <v>0.0</v>
      </c>
      <c r="AC64" s="89">
        <v>0.0</v>
      </c>
      <c r="AD64" s="89">
        <v>0.0</v>
      </c>
      <c r="AE64" s="89">
        <v>0.0</v>
      </c>
      <c r="AF64" s="89">
        <v>0.0</v>
      </c>
      <c r="AG64" s="89">
        <v>0.0</v>
      </c>
      <c r="AH64" s="89">
        <v>0.0</v>
      </c>
      <c r="AI64" s="89">
        <v>0.0</v>
      </c>
      <c r="AJ64" s="89">
        <v>0.0</v>
      </c>
      <c r="AK64" s="90">
        <v>0.0</v>
      </c>
      <c r="AL64" s="85"/>
      <c r="AM64" s="85">
        <f t="shared" si="1"/>
        <v>0</v>
      </c>
      <c r="AN64" s="86">
        <f t="shared" si="2"/>
        <v>0</v>
      </c>
      <c r="AO64" s="13"/>
    </row>
    <row r="65" ht="30.0" customHeight="1">
      <c r="A65" s="4" t="str">
        <f>IFERROR(VLOOKUP(C65,'Product List'!$A$2:$C198,2,FALSE),"")</f>
        <v/>
      </c>
      <c r="B65" s="5" t="str">
        <f>IFERROR(VLOOKUP(C65,'Product List'!$A$2:$C198,3,FALSE),"")</f>
        <v/>
      </c>
      <c r="C65" s="6"/>
      <c r="D65" s="5"/>
      <c r="E65" s="76">
        <f>IFERROR(__xludf.DUMMYFUNCTION("+E64+1"),50.0)</f>
        <v>50</v>
      </c>
      <c r="F65" s="77" t="s">
        <v>405</v>
      </c>
      <c r="G65" s="78">
        <v>10000.0</v>
      </c>
      <c r="H65" s="78">
        <v>0.0</v>
      </c>
      <c r="I65" s="78">
        <f>IFERROR(__xludf.DUMMYFUNCTION("+G65-H65"),10000.0)</f>
        <v>10000</v>
      </c>
      <c r="J65" s="78">
        <v>0.0</v>
      </c>
      <c r="K65" s="78">
        <f>IFERROR(__xludf.DUMMYFUNCTION("+I65+J65"),10000.0)</f>
        <v>10000</v>
      </c>
      <c r="L65" s="79">
        <f>IFERROR(__xludf.DUMMYFUNCTION("+K65/$K$190"),7.194244604316547E-4)</f>
        <v>0.0007194244604</v>
      </c>
      <c r="M65" s="78">
        <f>IFERROR(__xludf.DUMMYFUNCTION("+K65/$T$9"),0.12161455482992205)</f>
        <v>0.1216145548</v>
      </c>
      <c r="N65" s="80">
        <f>IFERROR(__xludf.DUMMYFUNCTION("+K65-SUM(O65:AL65)"),10000.0)</f>
        <v>10000</v>
      </c>
      <c r="O65" s="81">
        <v>0.0</v>
      </c>
      <c r="P65" s="88">
        <v>0.0</v>
      </c>
      <c r="Q65" s="89">
        <v>0.0</v>
      </c>
      <c r="R65" s="88">
        <v>0.0</v>
      </c>
      <c r="S65" s="89">
        <v>0.0</v>
      </c>
      <c r="T65" s="89">
        <v>0.0</v>
      </c>
      <c r="U65" s="89">
        <v>0.0</v>
      </c>
      <c r="V65" s="89">
        <v>0.0</v>
      </c>
      <c r="W65" s="89">
        <v>0.0</v>
      </c>
      <c r="X65" s="89">
        <v>0.0</v>
      </c>
      <c r="Y65" s="89">
        <v>0.0</v>
      </c>
      <c r="Z65" s="89">
        <v>0.0</v>
      </c>
      <c r="AA65" s="89">
        <v>0.0</v>
      </c>
      <c r="AB65" s="89">
        <v>0.0</v>
      </c>
      <c r="AC65" s="89">
        <v>0.0</v>
      </c>
      <c r="AD65" s="89">
        <v>0.0</v>
      </c>
      <c r="AE65" s="89">
        <v>0.0</v>
      </c>
      <c r="AF65" s="89">
        <v>0.0</v>
      </c>
      <c r="AG65" s="89">
        <v>0.0</v>
      </c>
      <c r="AH65" s="89">
        <v>0.0</v>
      </c>
      <c r="AI65" s="89">
        <v>0.0</v>
      </c>
      <c r="AJ65" s="89">
        <v>0.0</v>
      </c>
      <c r="AK65" s="90">
        <v>0.0</v>
      </c>
      <c r="AL65" s="85"/>
      <c r="AM65" s="85">
        <f t="shared" si="1"/>
        <v>0</v>
      </c>
      <c r="AN65" s="86">
        <f t="shared" si="2"/>
        <v>0</v>
      </c>
      <c r="AO65" s="13"/>
    </row>
    <row r="66" ht="30.0" customHeight="1">
      <c r="A66" s="4" t="str">
        <f>IFERROR(VLOOKUP(C66,'Product List'!$A$2:$C198,2,FALSE),"")</f>
        <v/>
      </c>
      <c r="B66" s="5" t="str">
        <f>IFERROR(VLOOKUP(C66,'Product List'!$A$2:$C198,3,FALSE),"")</f>
        <v/>
      </c>
      <c r="C66" s="6"/>
      <c r="D66" s="5"/>
      <c r="E66" s="76">
        <f>IFERROR(__xludf.DUMMYFUNCTION("+E65+1"),51.0)</f>
        <v>51</v>
      </c>
      <c r="F66" s="77" t="s">
        <v>33</v>
      </c>
      <c r="G66" s="78">
        <v>1243628.5199999996</v>
      </c>
      <c r="H66" s="78">
        <v>0.0</v>
      </c>
      <c r="I66" s="78">
        <f>IFERROR(__xludf.DUMMYFUNCTION("+G66-H66"),1243628.5199999996)</f>
        <v>1243628.52</v>
      </c>
      <c r="J66" s="92">
        <v>-30869.16</v>
      </c>
      <c r="K66" s="78">
        <f>IFERROR(__xludf.DUMMYFUNCTION("+I66+J66"),1212759.3599999996)</f>
        <v>1212759.36</v>
      </c>
      <c r="L66" s="79">
        <f>IFERROR(__xludf.DUMMYFUNCTION("+K66/$K$190"),0.08724887482014386)</f>
        <v>0.08724887482</v>
      </c>
      <c r="M66" s="78">
        <f>IFERROR(__xludf.DUMMYFUNCTION("+K66/$T$9"),14.748918968222112)</f>
        <v>14.74891897</v>
      </c>
      <c r="N66" s="80">
        <f>IFERROR(__xludf.DUMMYFUNCTION("+K66-SUM(O66:AL66)"),1212759.3599999996)</f>
        <v>1212759.36</v>
      </c>
      <c r="O66" s="81">
        <v>0.0</v>
      </c>
      <c r="P66" s="88">
        <v>0.0</v>
      </c>
      <c r="Q66" s="89">
        <v>0.0</v>
      </c>
      <c r="R66" s="88">
        <v>0.0</v>
      </c>
      <c r="S66" s="89">
        <v>0.0</v>
      </c>
      <c r="T66" s="89">
        <v>0.0</v>
      </c>
      <c r="U66" s="89">
        <v>0.0</v>
      </c>
      <c r="V66" s="89">
        <v>0.0</v>
      </c>
      <c r="W66" s="89">
        <v>0.0</v>
      </c>
      <c r="X66" s="89">
        <v>0.0</v>
      </c>
      <c r="Y66" s="89">
        <v>0.0</v>
      </c>
      <c r="Z66" s="89">
        <v>0.0</v>
      </c>
      <c r="AA66" s="89">
        <v>0.0</v>
      </c>
      <c r="AB66" s="89">
        <v>0.0</v>
      </c>
      <c r="AC66" s="89">
        <v>0.0</v>
      </c>
      <c r="AD66" s="89">
        <v>0.0</v>
      </c>
      <c r="AE66" s="89">
        <v>0.0</v>
      </c>
      <c r="AF66" s="89">
        <v>0.0</v>
      </c>
      <c r="AG66" s="89">
        <v>0.0</v>
      </c>
      <c r="AH66" s="89">
        <v>0.0</v>
      </c>
      <c r="AI66" s="89">
        <v>0.0</v>
      </c>
      <c r="AJ66" s="89">
        <v>0.0</v>
      </c>
      <c r="AK66" s="90">
        <v>0.0</v>
      </c>
      <c r="AL66" s="85"/>
      <c r="AM66" s="85">
        <f t="shared" si="1"/>
        <v>0</v>
      </c>
      <c r="AN66" s="86">
        <f t="shared" si="2"/>
        <v>0</v>
      </c>
      <c r="AO66" s="13"/>
    </row>
    <row r="67" ht="30.0" customHeight="1">
      <c r="A67" s="4" t="str">
        <f>IFERROR(VLOOKUP(C67,'Product List'!$A$2:$C198,2,FALSE),"")</f>
        <v/>
      </c>
      <c r="B67" s="5" t="str">
        <f>IFERROR(VLOOKUP(C67,'Product List'!$A$2:$C198,3,FALSE),"")</f>
        <v/>
      </c>
      <c r="C67" s="6"/>
      <c r="D67" s="5"/>
      <c r="E67" s="76">
        <f>IFERROR(__xludf.DUMMYFUNCTION("+E66+1"),52.0)</f>
        <v>52</v>
      </c>
      <c r="F67" s="77" t="s">
        <v>406</v>
      </c>
      <c r="G67" s="78">
        <v>25000.0</v>
      </c>
      <c r="H67" s="78">
        <v>0.0</v>
      </c>
      <c r="I67" s="78">
        <f>IFERROR(__xludf.DUMMYFUNCTION("+G67-H67"),25000.0)</f>
        <v>25000</v>
      </c>
      <c r="J67" s="78">
        <v>0.0</v>
      </c>
      <c r="K67" s="78">
        <f>IFERROR(__xludf.DUMMYFUNCTION("+I67+J67"),25000.0)</f>
        <v>25000</v>
      </c>
      <c r="L67" s="79">
        <f>IFERROR(__xludf.DUMMYFUNCTION("+K67/$K$190"),0.0017985611510791368)</f>
        <v>0.001798561151</v>
      </c>
      <c r="M67" s="78">
        <f>IFERROR(__xludf.DUMMYFUNCTION("+K67/$T$9"),0.3040363870748051)</f>
        <v>0.3040363871</v>
      </c>
      <c r="N67" s="80">
        <f>IFERROR(__xludf.DUMMYFUNCTION("+K67-SUM(O67:AL67)"),25000.0)</f>
        <v>25000</v>
      </c>
      <c r="O67" s="89">
        <v>0.0</v>
      </c>
      <c r="P67" s="89">
        <v>0.0</v>
      </c>
      <c r="Q67" s="89">
        <v>0.0</v>
      </c>
      <c r="R67" s="89">
        <v>0.0</v>
      </c>
      <c r="S67" s="89">
        <v>0.0</v>
      </c>
      <c r="T67" s="89">
        <v>0.0</v>
      </c>
      <c r="U67" s="89">
        <v>0.0</v>
      </c>
      <c r="V67" s="89">
        <v>0.0</v>
      </c>
      <c r="W67" s="89">
        <v>0.0</v>
      </c>
      <c r="X67" s="89">
        <v>0.0</v>
      </c>
      <c r="Y67" s="89">
        <v>0.0</v>
      </c>
      <c r="Z67" s="89">
        <v>0.0</v>
      </c>
      <c r="AA67" s="93">
        <v>0.0</v>
      </c>
      <c r="AB67" s="93">
        <v>0.0</v>
      </c>
      <c r="AC67" s="93">
        <v>0.0</v>
      </c>
      <c r="AD67" s="93">
        <v>0.0</v>
      </c>
      <c r="AE67" s="93">
        <v>0.0</v>
      </c>
      <c r="AF67" s="93">
        <v>0.0</v>
      </c>
      <c r="AG67" s="93">
        <v>0.0</v>
      </c>
      <c r="AH67" s="93">
        <v>0.0</v>
      </c>
      <c r="AI67" s="93">
        <v>0.0</v>
      </c>
      <c r="AJ67" s="93">
        <v>0.0</v>
      </c>
      <c r="AK67" s="94">
        <v>0.0</v>
      </c>
      <c r="AL67" s="85"/>
      <c r="AM67" s="85">
        <f t="shared" si="1"/>
        <v>0</v>
      </c>
      <c r="AN67" s="86">
        <f t="shared" si="2"/>
        <v>0</v>
      </c>
      <c r="AO67" s="13"/>
    </row>
    <row r="68" ht="30.0" customHeight="1">
      <c r="A68" s="4" t="str">
        <f>IFERROR(VLOOKUP(C68,'Product List'!$A$2:$C198,2,FALSE),"")</f>
        <v/>
      </c>
      <c r="B68" s="5" t="str">
        <f>IFERROR(VLOOKUP(C68,'Product List'!$A$2:$C198,3,FALSE),"")</f>
        <v/>
      </c>
      <c r="C68" s="6"/>
      <c r="D68" s="5"/>
      <c r="E68" s="76">
        <f>IFERROR(__xludf.DUMMYFUNCTION("+E67+1"),53.0)</f>
        <v>53</v>
      </c>
      <c r="F68" s="77" t="s">
        <v>407</v>
      </c>
      <c r="G68" s="78">
        <v>7000.0</v>
      </c>
      <c r="H68" s="78">
        <v>565.69</v>
      </c>
      <c r="I68" s="78">
        <f>IFERROR(__xludf.DUMMYFUNCTION("+G68-H68"),6434.3099999999995)</f>
        <v>6434.31</v>
      </c>
      <c r="J68" s="78">
        <v>0.0</v>
      </c>
      <c r="K68" s="78">
        <f>IFERROR(__xludf.DUMMYFUNCTION("+I68+J68"),6434.3099999999995)</f>
        <v>6434.31</v>
      </c>
      <c r="L68" s="79">
        <f>IFERROR(__xludf.DUMMYFUNCTION("+K68/$K$190"),4.629E-4)</f>
        <v>0.0004629</v>
      </c>
      <c r="M68" s="78">
        <f>IFERROR(__xludf.DUMMYFUNCTION("+K68/$T$9"),0.07825057462877157)</f>
        <v>0.07825057463</v>
      </c>
      <c r="N68" s="80">
        <f>IFERROR(__xludf.DUMMYFUNCTION("+K68-SUM(O68:AL68)"),982.0499999999993)</f>
        <v>982.05</v>
      </c>
      <c r="O68" s="89">
        <v>373.54</v>
      </c>
      <c r="P68" s="89">
        <v>239.79</v>
      </c>
      <c r="Q68" s="89">
        <v>1457.96</v>
      </c>
      <c r="R68" s="89">
        <v>592.9</v>
      </c>
      <c r="S68" s="89">
        <v>592.9</v>
      </c>
      <c r="T68" s="89">
        <v>0.0</v>
      </c>
      <c r="U68" s="89">
        <v>1334.04</v>
      </c>
      <c r="V68" s="88">
        <v>861.13</v>
      </c>
      <c r="W68" s="89">
        <v>0.0</v>
      </c>
      <c r="X68" s="89">
        <v>0.0</v>
      </c>
      <c r="Y68" s="89">
        <v>0.0</v>
      </c>
      <c r="Z68" s="89">
        <v>0.0</v>
      </c>
      <c r="AA68" s="89">
        <v>0.0</v>
      </c>
      <c r="AB68" s="89">
        <v>0.0</v>
      </c>
      <c r="AC68" s="89">
        <v>0.0</v>
      </c>
      <c r="AD68" s="89">
        <v>0.0</v>
      </c>
      <c r="AE68" s="89">
        <v>0.0</v>
      </c>
      <c r="AF68" s="89">
        <v>0.0</v>
      </c>
      <c r="AG68" s="89">
        <v>0.0</v>
      </c>
      <c r="AH68" s="89">
        <v>0.0</v>
      </c>
      <c r="AI68" s="89">
        <v>0.0</v>
      </c>
      <c r="AJ68" s="89">
        <v>0.0</v>
      </c>
      <c r="AK68" s="90">
        <v>0.0</v>
      </c>
      <c r="AL68" s="85"/>
      <c r="AM68" s="85">
        <f t="shared" si="1"/>
        <v>5452.26</v>
      </c>
      <c r="AN68" s="86">
        <f t="shared" si="2"/>
        <v>0.8473729118</v>
      </c>
      <c r="AO68" s="13"/>
    </row>
    <row r="69" ht="30.0" customHeight="1">
      <c r="A69" s="4" t="str">
        <f>IFERROR(VLOOKUP(C69,'Product List'!$A$2:$C198,2,FALSE),"")</f>
        <v/>
      </c>
      <c r="B69" s="5" t="str">
        <f>IFERROR(VLOOKUP(C69,'Product List'!$A$2:$C198,3,FALSE),"")</f>
        <v/>
      </c>
      <c r="C69" s="6"/>
      <c r="D69" s="5"/>
      <c r="E69" s="76">
        <f>IFERROR(__xludf.DUMMYFUNCTION("+E68+1"),54.0)</f>
        <v>54</v>
      </c>
      <c r="F69" s="77" t="s">
        <v>408</v>
      </c>
      <c r="G69" s="78">
        <v>22000.0</v>
      </c>
      <c r="H69" s="78">
        <v>0.0</v>
      </c>
      <c r="I69" s="78">
        <f>IFERROR(__xludf.DUMMYFUNCTION("+G69-H69"),22000.0)</f>
        <v>22000</v>
      </c>
      <c r="J69" s="78">
        <v>0.0</v>
      </c>
      <c r="K69" s="78">
        <f>IFERROR(__xludf.DUMMYFUNCTION("+I69+J69"),22000.0)</f>
        <v>22000</v>
      </c>
      <c r="L69" s="79">
        <f>IFERROR(__xludf.DUMMYFUNCTION("+K69/$K$190"),0.0015827338129496403)</f>
        <v>0.001582733813</v>
      </c>
      <c r="M69" s="78">
        <f>IFERROR(__xludf.DUMMYFUNCTION("+K69/$T$9"),0.2675520206258285)</f>
        <v>0.2675520206</v>
      </c>
      <c r="N69" s="80">
        <f>IFERROR(__xludf.DUMMYFUNCTION("+K69-SUM(O69:AL69)"),9828.939999999999)</f>
        <v>9828.94</v>
      </c>
      <c r="O69" s="87">
        <v>75.0</v>
      </c>
      <c r="P69" s="88">
        <v>1042.4</v>
      </c>
      <c r="Q69" s="89">
        <v>1415.85</v>
      </c>
      <c r="R69" s="88">
        <v>3129.78</v>
      </c>
      <c r="S69" s="88">
        <v>1820.77</v>
      </c>
      <c r="T69" s="89">
        <v>0.0</v>
      </c>
      <c r="U69" s="88">
        <v>1951.42</v>
      </c>
      <c r="V69" s="88">
        <v>2735.84</v>
      </c>
      <c r="W69" s="89">
        <v>0.0</v>
      </c>
      <c r="X69" s="89">
        <v>0.0</v>
      </c>
      <c r="Y69" s="89">
        <v>0.0</v>
      </c>
      <c r="Z69" s="89">
        <v>0.0</v>
      </c>
      <c r="AA69" s="89">
        <v>0.0</v>
      </c>
      <c r="AB69" s="89">
        <v>0.0</v>
      </c>
      <c r="AC69" s="89">
        <v>0.0</v>
      </c>
      <c r="AD69" s="89">
        <v>0.0</v>
      </c>
      <c r="AE69" s="89">
        <v>0.0</v>
      </c>
      <c r="AF69" s="89">
        <v>0.0</v>
      </c>
      <c r="AG69" s="89">
        <v>0.0</v>
      </c>
      <c r="AH69" s="89">
        <v>0.0</v>
      </c>
      <c r="AI69" s="89">
        <v>0.0</v>
      </c>
      <c r="AJ69" s="89">
        <v>0.0</v>
      </c>
      <c r="AK69" s="90">
        <v>0.0</v>
      </c>
      <c r="AL69" s="85"/>
      <c r="AM69" s="85">
        <f t="shared" si="1"/>
        <v>12171.06</v>
      </c>
      <c r="AN69" s="86">
        <f t="shared" si="2"/>
        <v>0.55323</v>
      </c>
      <c r="AO69" s="13"/>
    </row>
    <row r="70" ht="30.0" customHeight="1">
      <c r="A70" s="4" t="str">
        <f>IFERROR(VLOOKUP(C70,'Product List'!$A$2:$C198,2,FALSE),"")</f>
        <v/>
      </c>
      <c r="B70" s="5" t="str">
        <f>IFERROR(VLOOKUP(C70,'Product List'!$A$2:$C198,3,FALSE),"")</f>
        <v/>
      </c>
      <c r="C70" s="6"/>
      <c r="D70" s="5"/>
      <c r="E70" s="76">
        <f>IFERROR(__xludf.DUMMYFUNCTION("+E69+1"),55.0)</f>
        <v>55</v>
      </c>
      <c r="F70" s="77" t="s">
        <v>409</v>
      </c>
      <c r="G70" s="78">
        <v>25000.0</v>
      </c>
      <c r="H70" s="78">
        <v>14030.0</v>
      </c>
      <c r="I70" s="78">
        <f>IFERROR(__xludf.DUMMYFUNCTION("+G70-H70"),10970.0)</f>
        <v>10970</v>
      </c>
      <c r="J70" s="78">
        <v>0.0</v>
      </c>
      <c r="K70" s="78">
        <f>IFERROR(__xludf.DUMMYFUNCTION("+I70+J70"),10970.0)</f>
        <v>10970</v>
      </c>
      <c r="L70" s="79">
        <f>IFERROR(__xludf.DUMMYFUNCTION("+K70/$K$190"),7.892086330935252E-4)</f>
        <v>0.0007892086331</v>
      </c>
      <c r="M70" s="78">
        <f>IFERROR(__xludf.DUMMYFUNCTION("+K70/$T$9"),0.13341116664842448)</f>
        <v>0.1334111666</v>
      </c>
      <c r="N70" s="80">
        <f>IFERROR(__xludf.DUMMYFUNCTION("+K70-SUM(O70:AL70)"),10970.0)</f>
        <v>10970</v>
      </c>
      <c r="O70" s="81">
        <v>0.0</v>
      </c>
      <c r="P70" s="88">
        <v>0.0</v>
      </c>
      <c r="Q70" s="89">
        <v>0.0</v>
      </c>
      <c r="R70" s="88">
        <v>0.0</v>
      </c>
      <c r="S70" s="89">
        <v>0.0</v>
      </c>
      <c r="T70" s="89">
        <v>0.0</v>
      </c>
      <c r="U70" s="89">
        <v>0.0</v>
      </c>
      <c r="V70" s="89">
        <v>0.0</v>
      </c>
      <c r="W70" s="89">
        <v>0.0</v>
      </c>
      <c r="X70" s="89">
        <v>0.0</v>
      </c>
      <c r="Y70" s="89">
        <v>0.0</v>
      </c>
      <c r="Z70" s="89">
        <v>0.0</v>
      </c>
      <c r="AA70" s="89">
        <v>0.0</v>
      </c>
      <c r="AB70" s="89">
        <v>0.0</v>
      </c>
      <c r="AC70" s="89">
        <v>0.0</v>
      </c>
      <c r="AD70" s="89">
        <v>0.0</v>
      </c>
      <c r="AE70" s="89">
        <v>0.0</v>
      </c>
      <c r="AF70" s="89">
        <v>0.0</v>
      </c>
      <c r="AG70" s="89">
        <v>0.0</v>
      </c>
      <c r="AH70" s="89">
        <v>0.0</v>
      </c>
      <c r="AI70" s="89">
        <v>0.0</v>
      </c>
      <c r="AJ70" s="89">
        <v>0.0</v>
      </c>
      <c r="AK70" s="90">
        <v>0.0</v>
      </c>
      <c r="AL70" s="85"/>
      <c r="AM70" s="85">
        <f t="shared" si="1"/>
        <v>0</v>
      </c>
      <c r="AN70" s="86">
        <f t="shared" si="2"/>
        <v>0</v>
      </c>
      <c r="AO70" s="13"/>
    </row>
    <row r="71" ht="30.0" customHeight="1">
      <c r="A71" s="4" t="str">
        <f>IFERROR(VLOOKUP(C71,'Product List'!$A$2:$C198,2,FALSE),"")</f>
        <v/>
      </c>
      <c r="B71" s="5" t="str">
        <f>IFERROR(VLOOKUP(C71,'Product List'!$A$2:$C198,3,FALSE),"")</f>
        <v/>
      </c>
      <c r="C71" s="6"/>
      <c r="D71" s="5"/>
      <c r="E71" s="76">
        <f>IFERROR(__xludf.DUMMYFUNCTION("+E70+1"),56.0)</f>
        <v>56</v>
      </c>
      <c r="F71" s="77" t="s">
        <v>410</v>
      </c>
      <c r="G71" s="78">
        <v>25000.0</v>
      </c>
      <c r="H71" s="78">
        <v>0.0</v>
      </c>
      <c r="I71" s="78">
        <f>IFERROR(__xludf.DUMMYFUNCTION("+G71-H71"),25000.0)</f>
        <v>25000</v>
      </c>
      <c r="J71" s="78">
        <v>0.0</v>
      </c>
      <c r="K71" s="78">
        <f>IFERROR(__xludf.DUMMYFUNCTION("+I71+J71"),25000.0)</f>
        <v>25000</v>
      </c>
      <c r="L71" s="79">
        <f>IFERROR(__xludf.DUMMYFUNCTION("+K71/$K$190"),0.0017985611510791368)</f>
        <v>0.001798561151</v>
      </c>
      <c r="M71" s="78">
        <f>IFERROR(__xludf.DUMMYFUNCTION("+K71/$T$9"),0.3040363870748051)</f>
        <v>0.3040363871</v>
      </c>
      <c r="N71" s="80">
        <f>IFERROR(__xludf.DUMMYFUNCTION("+K71-SUM(O71:AL71)"),18477.79)</f>
        <v>18477.79</v>
      </c>
      <c r="O71" s="81">
        <v>0.0</v>
      </c>
      <c r="P71" s="88">
        <v>0.0</v>
      </c>
      <c r="Q71" s="89">
        <v>0.0</v>
      </c>
      <c r="R71" s="88">
        <v>0.0</v>
      </c>
      <c r="S71" s="89">
        <v>0.0</v>
      </c>
      <c r="T71" s="89">
        <v>0.0</v>
      </c>
      <c r="U71" s="88">
        <v>1667.03</v>
      </c>
      <c r="V71" s="88">
        <v>4855.18</v>
      </c>
      <c r="W71" s="89">
        <v>0.0</v>
      </c>
      <c r="X71" s="89">
        <v>0.0</v>
      </c>
      <c r="Y71" s="89">
        <v>0.0</v>
      </c>
      <c r="Z71" s="89">
        <v>0.0</v>
      </c>
      <c r="AA71" s="89">
        <v>0.0</v>
      </c>
      <c r="AB71" s="89">
        <v>0.0</v>
      </c>
      <c r="AC71" s="89">
        <v>0.0</v>
      </c>
      <c r="AD71" s="89">
        <v>0.0</v>
      </c>
      <c r="AE71" s="89">
        <v>0.0</v>
      </c>
      <c r="AF71" s="89">
        <v>0.0</v>
      </c>
      <c r="AG71" s="89">
        <v>0.0</v>
      </c>
      <c r="AH71" s="89">
        <v>0.0</v>
      </c>
      <c r="AI71" s="89">
        <v>0.0</v>
      </c>
      <c r="AJ71" s="89">
        <v>0.0</v>
      </c>
      <c r="AK71" s="90">
        <v>0.0</v>
      </c>
      <c r="AL71" s="85"/>
      <c r="AM71" s="85">
        <f t="shared" si="1"/>
        <v>6522.21</v>
      </c>
      <c r="AN71" s="86">
        <f t="shared" si="2"/>
        <v>0.2608884</v>
      </c>
      <c r="AO71" s="13"/>
    </row>
    <row r="72" ht="30.0" customHeight="1">
      <c r="A72" s="4" t="str">
        <f>IFERROR(VLOOKUP(C72,'Product List'!$A$2:$C198,2,FALSE),"")</f>
        <v/>
      </c>
      <c r="B72" s="5" t="str">
        <f>IFERROR(VLOOKUP(C72,'Product List'!$A$2:$C198,3,FALSE),"")</f>
        <v/>
      </c>
      <c r="C72" s="6"/>
      <c r="D72" s="5"/>
      <c r="E72" s="76">
        <f>IFERROR(__xludf.DUMMYFUNCTION("+E71+1"),57.0)</f>
        <v>57</v>
      </c>
      <c r="F72" s="77" t="s">
        <v>411</v>
      </c>
      <c r="G72" s="78">
        <v>27000.0</v>
      </c>
      <c r="H72" s="78">
        <v>0.0</v>
      </c>
      <c r="I72" s="78">
        <f>IFERROR(__xludf.DUMMYFUNCTION("+G72-H72"),27000.0)</f>
        <v>27000</v>
      </c>
      <c r="J72" s="78">
        <v>0.0</v>
      </c>
      <c r="K72" s="78">
        <f>IFERROR(__xludf.DUMMYFUNCTION("+I72+J72"),27000.0)</f>
        <v>27000</v>
      </c>
      <c r="L72" s="79">
        <f>IFERROR(__xludf.DUMMYFUNCTION("+K72/$K$190"),0.0019424460431654675)</f>
        <v>0.001942446043</v>
      </c>
      <c r="M72" s="78">
        <f>IFERROR(__xludf.DUMMYFUNCTION("+K72/$T$9"),0.3283592980407895)</f>
        <v>0.328359298</v>
      </c>
      <c r="N72" s="80">
        <f>IFERROR(__xludf.DUMMYFUNCTION("+K72-SUM(O72:AL72)"),27000.0)</f>
        <v>27000</v>
      </c>
      <c r="O72" s="81">
        <v>0.0</v>
      </c>
      <c r="P72" s="88">
        <v>0.0</v>
      </c>
      <c r="Q72" s="89">
        <v>0.0</v>
      </c>
      <c r="R72" s="88">
        <v>0.0</v>
      </c>
      <c r="S72" s="89">
        <v>0.0</v>
      </c>
      <c r="T72" s="89">
        <v>0.0</v>
      </c>
      <c r="U72" s="89">
        <v>0.0</v>
      </c>
      <c r="V72" s="89">
        <v>0.0</v>
      </c>
      <c r="W72" s="89">
        <v>0.0</v>
      </c>
      <c r="X72" s="89">
        <v>0.0</v>
      </c>
      <c r="Y72" s="89">
        <v>0.0</v>
      </c>
      <c r="Z72" s="89">
        <v>0.0</v>
      </c>
      <c r="AA72" s="89">
        <v>0.0</v>
      </c>
      <c r="AB72" s="89">
        <v>0.0</v>
      </c>
      <c r="AC72" s="89">
        <v>0.0</v>
      </c>
      <c r="AD72" s="89">
        <v>0.0</v>
      </c>
      <c r="AE72" s="89">
        <v>0.0</v>
      </c>
      <c r="AF72" s="89">
        <v>0.0</v>
      </c>
      <c r="AG72" s="89">
        <v>0.0</v>
      </c>
      <c r="AH72" s="89">
        <v>0.0</v>
      </c>
      <c r="AI72" s="89">
        <v>0.0</v>
      </c>
      <c r="AJ72" s="89">
        <v>0.0</v>
      </c>
      <c r="AK72" s="90">
        <v>0.0</v>
      </c>
      <c r="AL72" s="85"/>
      <c r="AM72" s="85">
        <f t="shared" si="1"/>
        <v>0</v>
      </c>
      <c r="AN72" s="86">
        <f t="shared" si="2"/>
        <v>0</v>
      </c>
      <c r="AO72" s="13"/>
    </row>
    <row r="73" ht="30.0" customHeight="1">
      <c r="A73" s="4" t="str">
        <f>IFERROR(VLOOKUP(C73,'Product List'!$A$2:$C198,2,FALSE),"")</f>
        <v/>
      </c>
      <c r="B73" s="5" t="str">
        <f>IFERROR(VLOOKUP(C73,'Product List'!$A$2:$C198,3,FALSE),"")</f>
        <v/>
      </c>
      <c r="C73" s="6"/>
      <c r="D73" s="5"/>
      <c r="E73" s="76">
        <f>IFERROR(__xludf.DUMMYFUNCTION("+E72+1"),58.0)</f>
        <v>58</v>
      </c>
      <c r="F73" s="77" t="s">
        <v>412</v>
      </c>
      <c r="G73" s="78">
        <v>4000.0</v>
      </c>
      <c r="H73" s="78">
        <v>0.0</v>
      </c>
      <c r="I73" s="78">
        <f>IFERROR(__xludf.DUMMYFUNCTION("+G73-H73"),4000.0)</f>
        <v>4000</v>
      </c>
      <c r="J73" s="78">
        <v>0.0</v>
      </c>
      <c r="K73" s="78">
        <f>IFERROR(__xludf.DUMMYFUNCTION("+I73+J73"),4000.0)</f>
        <v>4000</v>
      </c>
      <c r="L73" s="79">
        <f>IFERROR(__xludf.DUMMYFUNCTION("+K73/$K$190"),2.8776978417266187E-4)</f>
        <v>0.0002877697842</v>
      </c>
      <c r="M73" s="78">
        <f>IFERROR(__xludf.DUMMYFUNCTION("+K73/$T$9"),0.04864582193196882)</f>
        <v>0.04864582193</v>
      </c>
      <c r="N73" s="80">
        <f>IFERROR(__xludf.DUMMYFUNCTION("+K73-SUM(O73:AL73)"),4000.0)</f>
        <v>4000</v>
      </c>
      <c r="O73" s="81">
        <v>0.0</v>
      </c>
      <c r="P73" s="88">
        <v>0.0</v>
      </c>
      <c r="Q73" s="89">
        <v>0.0</v>
      </c>
      <c r="R73" s="88">
        <v>0.0</v>
      </c>
      <c r="S73" s="89">
        <v>0.0</v>
      </c>
      <c r="T73" s="89">
        <v>0.0</v>
      </c>
      <c r="U73" s="89">
        <v>0.0</v>
      </c>
      <c r="V73" s="88">
        <v>0.0</v>
      </c>
      <c r="W73" s="89">
        <v>0.0</v>
      </c>
      <c r="X73" s="89">
        <v>0.0</v>
      </c>
      <c r="Y73" s="89">
        <v>0.0</v>
      </c>
      <c r="Z73" s="89">
        <v>0.0</v>
      </c>
      <c r="AA73" s="89">
        <v>0.0</v>
      </c>
      <c r="AB73" s="89">
        <v>0.0</v>
      </c>
      <c r="AC73" s="89">
        <v>0.0</v>
      </c>
      <c r="AD73" s="89">
        <v>0.0</v>
      </c>
      <c r="AE73" s="89">
        <v>0.0</v>
      </c>
      <c r="AF73" s="89">
        <v>0.0</v>
      </c>
      <c r="AG73" s="89">
        <v>0.0</v>
      </c>
      <c r="AH73" s="89">
        <v>0.0</v>
      </c>
      <c r="AI73" s="89">
        <v>0.0</v>
      </c>
      <c r="AJ73" s="89">
        <v>0.0</v>
      </c>
      <c r="AK73" s="90">
        <v>0.0</v>
      </c>
      <c r="AL73" s="85"/>
      <c r="AM73" s="85">
        <f t="shared" si="1"/>
        <v>0</v>
      </c>
      <c r="AN73" s="86">
        <f t="shared" si="2"/>
        <v>0</v>
      </c>
      <c r="AO73" s="13"/>
    </row>
    <row r="74" ht="30.0" customHeight="1">
      <c r="A74" s="4" t="str">
        <f>IFERROR(VLOOKUP(C74,'Product List'!$A$2:$C198,2,FALSE),"")</f>
        <v/>
      </c>
      <c r="B74" s="5" t="str">
        <f>IFERROR(VLOOKUP(C74,'Product List'!$A$2:$C198,3,FALSE),"")</f>
        <v/>
      </c>
      <c r="C74" s="6"/>
      <c r="D74" s="5"/>
      <c r="E74" s="76">
        <f>IFERROR(__xludf.DUMMYFUNCTION("+E73+1"),59.0)</f>
        <v>59</v>
      </c>
      <c r="F74" s="77" t="s">
        <v>413</v>
      </c>
      <c r="G74" s="78">
        <v>4000.0</v>
      </c>
      <c r="H74" s="78">
        <v>0.0</v>
      </c>
      <c r="I74" s="78">
        <f>IFERROR(__xludf.DUMMYFUNCTION("+G74-H74"),4000.0)</f>
        <v>4000</v>
      </c>
      <c r="J74" s="78">
        <v>0.0</v>
      </c>
      <c r="K74" s="78">
        <f>IFERROR(__xludf.DUMMYFUNCTION("+I74+J74"),4000.0)</f>
        <v>4000</v>
      </c>
      <c r="L74" s="79">
        <f>IFERROR(__xludf.DUMMYFUNCTION("+K74/$K$190"),2.8776978417266187E-4)</f>
        <v>0.0002877697842</v>
      </c>
      <c r="M74" s="78">
        <f>IFERROR(__xludf.DUMMYFUNCTION("+K74/$T$9"),0.04864582193196882)</f>
        <v>0.04864582193</v>
      </c>
      <c r="N74" s="80">
        <f>IFERROR(__xludf.DUMMYFUNCTION("+K74-SUM(O74:AL74)"),4000.0)</f>
        <v>4000</v>
      </c>
      <c r="O74" s="81">
        <v>0.0</v>
      </c>
      <c r="P74" s="88">
        <v>0.0</v>
      </c>
      <c r="Q74" s="89">
        <v>0.0</v>
      </c>
      <c r="R74" s="88">
        <v>0.0</v>
      </c>
      <c r="S74" s="89">
        <v>0.0</v>
      </c>
      <c r="T74" s="89">
        <v>0.0</v>
      </c>
      <c r="U74" s="89">
        <v>0.0</v>
      </c>
      <c r="V74" s="89">
        <v>0.0</v>
      </c>
      <c r="W74" s="89">
        <v>0.0</v>
      </c>
      <c r="X74" s="89">
        <v>0.0</v>
      </c>
      <c r="Y74" s="89">
        <v>0.0</v>
      </c>
      <c r="Z74" s="89">
        <v>0.0</v>
      </c>
      <c r="AA74" s="89">
        <v>0.0</v>
      </c>
      <c r="AB74" s="89">
        <v>0.0</v>
      </c>
      <c r="AC74" s="89">
        <v>0.0</v>
      </c>
      <c r="AD74" s="89">
        <v>0.0</v>
      </c>
      <c r="AE74" s="89">
        <v>0.0</v>
      </c>
      <c r="AF74" s="89">
        <v>0.0</v>
      </c>
      <c r="AG74" s="89">
        <v>0.0</v>
      </c>
      <c r="AH74" s="89">
        <v>0.0</v>
      </c>
      <c r="AI74" s="89">
        <v>0.0</v>
      </c>
      <c r="AJ74" s="89">
        <v>0.0</v>
      </c>
      <c r="AK74" s="90">
        <v>0.0</v>
      </c>
      <c r="AL74" s="85"/>
      <c r="AM74" s="85">
        <f t="shared" si="1"/>
        <v>0</v>
      </c>
      <c r="AN74" s="86">
        <f t="shared" si="2"/>
        <v>0</v>
      </c>
      <c r="AO74" s="13"/>
    </row>
    <row r="75" ht="30.0" customHeight="1">
      <c r="A75" s="4" t="str">
        <f>IFERROR(VLOOKUP(C75,'Product List'!$A$2:$C198,2,FALSE),"")</f>
        <v/>
      </c>
      <c r="B75" s="5" t="str">
        <f>IFERROR(VLOOKUP(C75,'Product List'!$A$2:$C198,3,FALSE),"")</f>
        <v/>
      </c>
      <c r="C75" s="6"/>
      <c r="D75" s="5"/>
      <c r="E75" s="76">
        <f>IFERROR(__xludf.DUMMYFUNCTION("+E74+1"),60.0)</f>
        <v>60</v>
      </c>
      <c r="F75" s="77" t="s">
        <v>414</v>
      </c>
      <c r="G75" s="78">
        <v>9000.0</v>
      </c>
      <c r="H75" s="78">
        <v>0.0</v>
      </c>
      <c r="I75" s="78">
        <f>IFERROR(__xludf.DUMMYFUNCTION("+G75-H75"),9000.0)</f>
        <v>9000</v>
      </c>
      <c r="J75" s="78">
        <v>0.0</v>
      </c>
      <c r="K75" s="78">
        <f>IFERROR(__xludf.DUMMYFUNCTION("+I75+J75"),9000.0)</f>
        <v>9000</v>
      </c>
      <c r="L75" s="79">
        <f>IFERROR(__xludf.DUMMYFUNCTION("+K75/$K$190"),6.474820143884892E-4)</f>
        <v>0.0006474820144</v>
      </c>
      <c r="M75" s="78">
        <f>IFERROR(__xludf.DUMMYFUNCTION("+K75/$T$9"),0.10945309934692984)</f>
        <v>0.1094530993</v>
      </c>
      <c r="N75" s="80">
        <f>IFERROR(__xludf.DUMMYFUNCTION("+K75-SUM(O75:AL75)"),2694.25)</f>
        <v>2694.25</v>
      </c>
      <c r="O75" s="87">
        <v>900.0</v>
      </c>
      <c r="P75" s="88">
        <v>450.0</v>
      </c>
      <c r="Q75" s="89">
        <v>900.0</v>
      </c>
      <c r="R75" s="88">
        <v>450.0</v>
      </c>
      <c r="S75" s="88">
        <v>450.0</v>
      </c>
      <c r="T75" s="88">
        <v>355.75</v>
      </c>
      <c r="U75" s="88">
        <v>1900.0</v>
      </c>
      <c r="V75" s="88">
        <v>900.0</v>
      </c>
      <c r="W75" s="89">
        <v>0.0</v>
      </c>
      <c r="X75" s="89">
        <v>0.0</v>
      </c>
      <c r="Y75" s="89">
        <v>0.0</v>
      </c>
      <c r="Z75" s="89">
        <v>0.0</v>
      </c>
      <c r="AA75" s="89">
        <v>0.0</v>
      </c>
      <c r="AB75" s="89">
        <v>0.0</v>
      </c>
      <c r="AC75" s="89">
        <v>0.0</v>
      </c>
      <c r="AD75" s="89">
        <v>0.0</v>
      </c>
      <c r="AE75" s="89">
        <v>0.0</v>
      </c>
      <c r="AF75" s="89">
        <v>0.0</v>
      </c>
      <c r="AG75" s="89">
        <v>0.0</v>
      </c>
      <c r="AH75" s="89">
        <v>0.0</v>
      </c>
      <c r="AI75" s="89">
        <v>0.0</v>
      </c>
      <c r="AJ75" s="89">
        <v>0.0</v>
      </c>
      <c r="AK75" s="90">
        <v>0.0</v>
      </c>
      <c r="AL75" s="85"/>
      <c r="AM75" s="85">
        <f t="shared" si="1"/>
        <v>6305.75</v>
      </c>
      <c r="AN75" s="86">
        <f t="shared" si="2"/>
        <v>0.7006388889</v>
      </c>
      <c r="AO75" s="13"/>
    </row>
    <row r="76" ht="30.0" customHeight="1">
      <c r="A76" s="4" t="str">
        <f>IFERROR(VLOOKUP(C76,'Product List'!$A$2:$C198,2,FALSE),"")</f>
        <v/>
      </c>
      <c r="B76" s="5" t="str">
        <f>IFERROR(VLOOKUP(C76,'Product List'!$A$2:$C198,3,FALSE),"")</f>
        <v/>
      </c>
      <c r="C76" s="6"/>
      <c r="D76" s="5"/>
      <c r="E76" s="76">
        <f>IFERROR(__xludf.DUMMYFUNCTION("+E75+1"),61.0)</f>
        <v>61</v>
      </c>
      <c r="F76" s="77" t="s">
        <v>415</v>
      </c>
      <c r="G76" s="78">
        <v>7500.0</v>
      </c>
      <c r="H76" s="78">
        <v>0.0</v>
      </c>
      <c r="I76" s="78">
        <f>IFERROR(__xludf.DUMMYFUNCTION("+G76-H76"),7500.0)</f>
        <v>7500</v>
      </c>
      <c r="J76" s="78">
        <v>0.0</v>
      </c>
      <c r="K76" s="78">
        <f>IFERROR(__xludf.DUMMYFUNCTION("+I76+J76"),7500.0)</f>
        <v>7500</v>
      </c>
      <c r="L76" s="79">
        <f>IFERROR(__xludf.DUMMYFUNCTION("+K76/$K$190"),5.39568345323741E-4)</f>
        <v>0.0005395683453</v>
      </c>
      <c r="M76" s="78">
        <f>IFERROR(__xludf.DUMMYFUNCTION("+K76/$T$9"),0.09121091612244153)</f>
        <v>0.09121091612</v>
      </c>
      <c r="N76" s="80">
        <f>IFERROR(__xludf.DUMMYFUNCTION("+K76-SUM(O76:AL76)"),1357.2299999999996)</f>
        <v>1357.23</v>
      </c>
      <c r="O76" s="87">
        <v>243.49</v>
      </c>
      <c r="P76" s="88">
        <v>1797.51</v>
      </c>
      <c r="Q76" s="89">
        <v>304.14</v>
      </c>
      <c r="R76" s="88">
        <v>432.3</v>
      </c>
      <c r="S76" s="88">
        <v>428.07</v>
      </c>
      <c r="T76" s="88">
        <v>2409.34</v>
      </c>
      <c r="U76" s="89">
        <v>0.0</v>
      </c>
      <c r="V76" s="88">
        <v>527.92</v>
      </c>
      <c r="W76" s="89">
        <v>0.0</v>
      </c>
      <c r="X76" s="89">
        <v>0.0</v>
      </c>
      <c r="Y76" s="89">
        <v>0.0</v>
      </c>
      <c r="Z76" s="89">
        <v>0.0</v>
      </c>
      <c r="AA76" s="89">
        <v>0.0</v>
      </c>
      <c r="AB76" s="89">
        <v>0.0</v>
      </c>
      <c r="AC76" s="89">
        <v>0.0</v>
      </c>
      <c r="AD76" s="89">
        <v>0.0</v>
      </c>
      <c r="AE76" s="89">
        <v>0.0</v>
      </c>
      <c r="AF76" s="89">
        <v>0.0</v>
      </c>
      <c r="AG76" s="89">
        <v>0.0</v>
      </c>
      <c r="AH76" s="89">
        <v>0.0</v>
      </c>
      <c r="AI76" s="89">
        <v>0.0</v>
      </c>
      <c r="AJ76" s="89">
        <v>0.0</v>
      </c>
      <c r="AK76" s="90">
        <v>0.0</v>
      </c>
      <c r="AL76" s="85"/>
      <c r="AM76" s="85">
        <f t="shared" si="1"/>
        <v>6142.77</v>
      </c>
      <c r="AN76" s="86">
        <f t="shared" si="2"/>
        <v>0.819036</v>
      </c>
      <c r="AO76" s="13"/>
    </row>
    <row r="77" ht="30.0" customHeight="1">
      <c r="A77" s="4" t="str">
        <f>IFERROR(VLOOKUP(C77,'Product List'!$A$2:$C198,2,FALSE),"")</f>
        <v/>
      </c>
      <c r="B77" s="5" t="str">
        <f>IFERROR(VLOOKUP(C77,'Product List'!$A$2:$C198,3,FALSE),"")</f>
        <v/>
      </c>
      <c r="C77" s="6"/>
      <c r="D77" s="5"/>
      <c r="E77" s="76">
        <f>IFERROR(__xludf.DUMMYFUNCTION("+E76+1"),62.0)</f>
        <v>62</v>
      </c>
      <c r="F77" s="77" t="s">
        <v>416</v>
      </c>
      <c r="G77" s="78">
        <v>13500.0</v>
      </c>
      <c r="H77" s="78">
        <v>0.0</v>
      </c>
      <c r="I77" s="78">
        <f>IFERROR(__xludf.DUMMYFUNCTION("+G77-H77"),13500.0)</f>
        <v>13500</v>
      </c>
      <c r="J77" s="78">
        <v>0.0</v>
      </c>
      <c r="K77" s="78">
        <f>IFERROR(__xludf.DUMMYFUNCTION("+I77+J77"),13500.0)</f>
        <v>13500</v>
      </c>
      <c r="L77" s="79">
        <f>IFERROR(__xludf.DUMMYFUNCTION("+K77/$K$190"),9.712230215827338E-4)</f>
        <v>0.0009712230216</v>
      </c>
      <c r="M77" s="78">
        <f>IFERROR(__xludf.DUMMYFUNCTION("+K77/$T$9"),0.16417964902039475)</f>
        <v>0.164179649</v>
      </c>
      <c r="N77" s="80">
        <f>IFERROR(__xludf.DUMMYFUNCTION("+K77-SUM(O77:AL77)"),3458.74)</f>
        <v>3458.74</v>
      </c>
      <c r="O77" s="87">
        <v>3299.17</v>
      </c>
      <c r="P77" s="88">
        <v>203.3</v>
      </c>
      <c r="Q77" s="89">
        <v>2122.76</v>
      </c>
      <c r="R77" s="88">
        <v>1231.89</v>
      </c>
      <c r="S77" s="89">
        <v>0.0</v>
      </c>
      <c r="T77" s="89">
        <v>0.0</v>
      </c>
      <c r="U77" s="89">
        <v>0.0</v>
      </c>
      <c r="V77" s="88">
        <v>3184.14</v>
      </c>
      <c r="W77" s="89">
        <v>0.0</v>
      </c>
      <c r="X77" s="89">
        <v>0.0</v>
      </c>
      <c r="Y77" s="89">
        <v>0.0</v>
      </c>
      <c r="Z77" s="89">
        <v>0.0</v>
      </c>
      <c r="AA77" s="89">
        <v>0.0</v>
      </c>
      <c r="AB77" s="89">
        <v>0.0</v>
      </c>
      <c r="AC77" s="89">
        <v>0.0</v>
      </c>
      <c r="AD77" s="89">
        <v>0.0</v>
      </c>
      <c r="AE77" s="89">
        <v>0.0</v>
      </c>
      <c r="AF77" s="89">
        <v>0.0</v>
      </c>
      <c r="AG77" s="89">
        <v>0.0</v>
      </c>
      <c r="AH77" s="89">
        <v>0.0</v>
      </c>
      <c r="AI77" s="89">
        <v>0.0</v>
      </c>
      <c r="AJ77" s="89">
        <v>0.0</v>
      </c>
      <c r="AK77" s="90">
        <v>0.0</v>
      </c>
      <c r="AL77" s="85"/>
      <c r="AM77" s="85">
        <f t="shared" si="1"/>
        <v>10041.26</v>
      </c>
      <c r="AN77" s="86">
        <f t="shared" si="2"/>
        <v>0.743797037</v>
      </c>
      <c r="AO77" s="13"/>
    </row>
    <row r="78" ht="30.0" customHeight="1">
      <c r="A78" s="4" t="str">
        <f>IFERROR(VLOOKUP(C78,'Product List'!$A$2:$C198,2,FALSE),"")</f>
        <v/>
      </c>
      <c r="B78" s="5" t="str">
        <f>IFERROR(VLOOKUP(C78,'Product List'!$A$2:$C198,3,FALSE),"")</f>
        <v/>
      </c>
      <c r="C78" s="6"/>
      <c r="D78" s="5"/>
      <c r="E78" s="76">
        <f>IFERROR(__xludf.DUMMYFUNCTION("+E77+1"),63.0)</f>
        <v>63</v>
      </c>
      <c r="F78" s="77" t="s">
        <v>417</v>
      </c>
      <c r="G78" s="78">
        <v>35000.0</v>
      </c>
      <c r="H78" s="78">
        <v>0.0</v>
      </c>
      <c r="I78" s="78">
        <f>IFERROR(__xludf.DUMMYFUNCTION("+G78-H78"),35000.0)</f>
        <v>35000</v>
      </c>
      <c r="J78" s="78">
        <v>0.0</v>
      </c>
      <c r="K78" s="78">
        <f>IFERROR(__xludf.DUMMYFUNCTION("+I78+J78"),35000.0)</f>
        <v>35000</v>
      </c>
      <c r="L78" s="79">
        <f>IFERROR(__xludf.DUMMYFUNCTION("+K78/$K$190"),0.002517985611510791)</f>
        <v>0.002517985612</v>
      </c>
      <c r="M78" s="78">
        <f>IFERROR(__xludf.DUMMYFUNCTION("+K78/$T$9"),0.42565094190472713)</f>
        <v>0.4256509419</v>
      </c>
      <c r="N78" s="80">
        <f>IFERROR(__xludf.DUMMYFUNCTION("+K78-SUM(O78:AL78)"),6750.0)</f>
        <v>6750</v>
      </c>
      <c r="O78" s="87">
        <v>2750.0</v>
      </c>
      <c r="P78" s="88">
        <v>2750.0</v>
      </c>
      <c r="Q78" s="89">
        <v>2750.0</v>
      </c>
      <c r="R78" s="88">
        <v>4550.0</v>
      </c>
      <c r="S78" s="88">
        <v>500.0</v>
      </c>
      <c r="T78" s="88">
        <v>5500.0</v>
      </c>
      <c r="U78" s="88">
        <v>600.0</v>
      </c>
      <c r="V78" s="88">
        <v>8850.0</v>
      </c>
      <c r="W78" s="89">
        <v>0.0</v>
      </c>
      <c r="X78" s="89">
        <v>0.0</v>
      </c>
      <c r="Y78" s="89">
        <v>0.0</v>
      </c>
      <c r="Z78" s="89">
        <v>0.0</v>
      </c>
      <c r="AA78" s="89">
        <v>0.0</v>
      </c>
      <c r="AB78" s="89">
        <v>0.0</v>
      </c>
      <c r="AC78" s="89">
        <v>0.0</v>
      </c>
      <c r="AD78" s="89">
        <v>0.0</v>
      </c>
      <c r="AE78" s="89">
        <v>0.0</v>
      </c>
      <c r="AF78" s="89">
        <v>0.0</v>
      </c>
      <c r="AG78" s="89">
        <v>0.0</v>
      </c>
      <c r="AH78" s="89">
        <v>0.0</v>
      </c>
      <c r="AI78" s="89">
        <v>0.0</v>
      </c>
      <c r="AJ78" s="89">
        <v>0.0</v>
      </c>
      <c r="AK78" s="90">
        <v>0.0</v>
      </c>
      <c r="AL78" s="85"/>
      <c r="AM78" s="85">
        <f t="shared" si="1"/>
        <v>28250</v>
      </c>
      <c r="AN78" s="86">
        <f t="shared" si="2"/>
        <v>0.8071428571</v>
      </c>
      <c r="AO78" s="13"/>
    </row>
    <row r="79" ht="30.0" customHeight="1">
      <c r="A79" s="4" t="str">
        <f>IFERROR(VLOOKUP(C79,'Product List'!$A$2:$C198,2,FALSE),"")</f>
        <v/>
      </c>
      <c r="B79" s="5" t="str">
        <f>IFERROR(VLOOKUP(C79,'Product List'!$A$2:$C198,3,FALSE),"")</f>
        <v/>
      </c>
      <c r="C79" s="6"/>
      <c r="D79" s="5"/>
      <c r="E79" s="76">
        <f>IFERROR(__xludf.DUMMYFUNCTION("+E78+1"),64.0)</f>
        <v>64</v>
      </c>
      <c r="F79" s="77" t="s">
        <v>418</v>
      </c>
      <c r="G79" s="78">
        <v>10000.0</v>
      </c>
      <c r="H79" s="78">
        <v>4538.0</v>
      </c>
      <c r="I79" s="78">
        <f>IFERROR(__xludf.DUMMYFUNCTION("+G79-H79"),5462.0)</f>
        <v>5462</v>
      </c>
      <c r="J79" s="92">
        <v>851.0</v>
      </c>
      <c r="K79" s="78">
        <f>IFERROR(__xludf.DUMMYFUNCTION("+I79+J79"),6313.0)</f>
        <v>6313</v>
      </c>
      <c r="L79" s="79">
        <f>IFERROR(__xludf.DUMMYFUNCTION("+K79/$K$190"),4.541726618705036E-4)</f>
        <v>0.0004541726619</v>
      </c>
      <c r="M79" s="78">
        <f>IFERROR(__xludf.DUMMYFUNCTION("+K79/$T$9"),0.07677526846412978)</f>
        <v>0.07677526846</v>
      </c>
      <c r="N79" s="80">
        <f>IFERROR(__xludf.DUMMYFUNCTION("+K79-SUM(O79:AL79)"),-9.094947017729282E-13)</f>
        <v>0</v>
      </c>
      <c r="O79" s="87">
        <v>74.8</v>
      </c>
      <c r="P79" s="88">
        <v>3720.8</v>
      </c>
      <c r="Q79" s="89">
        <v>260.8</v>
      </c>
      <c r="R79" s="88">
        <v>252.8</v>
      </c>
      <c r="S79" s="89">
        <v>0.0</v>
      </c>
      <c r="T79" s="89">
        <v>0.0</v>
      </c>
      <c r="U79" s="89">
        <v>0.0</v>
      </c>
      <c r="V79" s="88">
        <v>2003.8</v>
      </c>
      <c r="W79" s="89">
        <v>0.0</v>
      </c>
      <c r="X79" s="89">
        <v>0.0</v>
      </c>
      <c r="Y79" s="89">
        <v>0.0</v>
      </c>
      <c r="Z79" s="89">
        <v>0.0</v>
      </c>
      <c r="AA79" s="89">
        <v>0.0</v>
      </c>
      <c r="AB79" s="89">
        <v>0.0</v>
      </c>
      <c r="AC79" s="89">
        <v>0.0</v>
      </c>
      <c r="AD79" s="89">
        <v>0.0</v>
      </c>
      <c r="AE79" s="89">
        <v>0.0</v>
      </c>
      <c r="AF79" s="89">
        <v>0.0</v>
      </c>
      <c r="AG79" s="89">
        <v>0.0</v>
      </c>
      <c r="AH79" s="89">
        <v>0.0</v>
      </c>
      <c r="AI79" s="89">
        <v>0.0</v>
      </c>
      <c r="AJ79" s="89">
        <v>0.0</v>
      </c>
      <c r="AK79" s="90">
        <v>0.0</v>
      </c>
      <c r="AL79" s="85"/>
      <c r="AM79" s="85">
        <f t="shared" si="1"/>
        <v>6313</v>
      </c>
      <c r="AN79" s="86">
        <f t="shared" si="2"/>
        <v>1</v>
      </c>
      <c r="AO79" s="13"/>
    </row>
    <row r="80" ht="30.0" customHeight="1">
      <c r="A80" s="4" t="str">
        <f>IFERROR(VLOOKUP(C80,'Product List'!$A$2:$C198,2,FALSE),"")</f>
        <v/>
      </c>
      <c r="B80" s="5" t="str">
        <f>IFERROR(VLOOKUP(C80,'Product List'!$A$2:$C198,3,FALSE),"")</f>
        <v/>
      </c>
      <c r="C80" s="6"/>
      <c r="D80" s="5"/>
      <c r="E80" s="76">
        <f>IFERROR(__xludf.DUMMYFUNCTION("+E79+1"),65.0)</f>
        <v>65</v>
      </c>
      <c r="F80" s="77" t="s">
        <v>419</v>
      </c>
      <c r="G80" s="78">
        <v>7500.0</v>
      </c>
      <c r="H80" s="78">
        <v>0.0</v>
      </c>
      <c r="I80" s="78">
        <f>IFERROR(__xludf.DUMMYFUNCTION("+G80-H80"),7500.0)</f>
        <v>7500</v>
      </c>
      <c r="J80" s="78">
        <v>0.0</v>
      </c>
      <c r="K80" s="78">
        <f>IFERROR(__xludf.DUMMYFUNCTION("+I80+J80"),7500.0)</f>
        <v>7500</v>
      </c>
      <c r="L80" s="79">
        <f>IFERROR(__xludf.DUMMYFUNCTION("+K80/$K$190"),5.39568345323741E-4)</f>
        <v>0.0005395683453</v>
      </c>
      <c r="M80" s="78">
        <f>IFERROR(__xludf.DUMMYFUNCTION("+K80/$T$9"),0.09121091612244153)</f>
        <v>0.09121091612</v>
      </c>
      <c r="N80" s="80">
        <f>IFERROR(__xludf.DUMMYFUNCTION("+K80-SUM(O80:AL80)"),7500.0)</f>
        <v>7500</v>
      </c>
      <c r="O80" s="81">
        <v>0.0</v>
      </c>
      <c r="P80" s="88">
        <v>0.0</v>
      </c>
      <c r="Q80" s="89">
        <v>0.0</v>
      </c>
      <c r="R80" s="88">
        <v>0.0</v>
      </c>
      <c r="S80" s="89">
        <v>0.0</v>
      </c>
      <c r="T80" s="89">
        <v>0.0</v>
      </c>
      <c r="U80" s="89">
        <v>0.0</v>
      </c>
      <c r="V80" s="89">
        <v>0.0</v>
      </c>
      <c r="W80" s="89">
        <v>0.0</v>
      </c>
      <c r="X80" s="89">
        <v>0.0</v>
      </c>
      <c r="Y80" s="89">
        <v>0.0</v>
      </c>
      <c r="Z80" s="89">
        <v>0.0</v>
      </c>
      <c r="AA80" s="89">
        <v>0.0</v>
      </c>
      <c r="AB80" s="89">
        <v>0.0</v>
      </c>
      <c r="AC80" s="89">
        <v>0.0</v>
      </c>
      <c r="AD80" s="89">
        <v>0.0</v>
      </c>
      <c r="AE80" s="89">
        <v>0.0</v>
      </c>
      <c r="AF80" s="89">
        <v>0.0</v>
      </c>
      <c r="AG80" s="89">
        <v>0.0</v>
      </c>
      <c r="AH80" s="89">
        <v>0.0</v>
      </c>
      <c r="AI80" s="89">
        <v>0.0</v>
      </c>
      <c r="AJ80" s="89">
        <v>0.0</v>
      </c>
      <c r="AK80" s="90">
        <v>0.0</v>
      </c>
      <c r="AL80" s="85"/>
      <c r="AM80" s="85">
        <f t="shared" si="1"/>
        <v>0</v>
      </c>
      <c r="AN80" s="86">
        <f t="shared" si="2"/>
        <v>0</v>
      </c>
      <c r="AO80" s="13"/>
    </row>
    <row r="81" ht="30.0" customHeight="1">
      <c r="A81" s="4" t="str">
        <f>IFERROR(VLOOKUP(C81,'Product List'!$A$2:$C198,2,FALSE),"")</f>
        <v/>
      </c>
      <c r="B81" s="5" t="str">
        <f>IFERROR(VLOOKUP(C81,'Product List'!$A$2:$C198,3,FALSE),"")</f>
        <v/>
      </c>
      <c r="C81" s="6"/>
      <c r="D81" s="5"/>
      <c r="E81" s="76">
        <f>IFERROR(__xludf.DUMMYFUNCTION("+E80+1"),66.0)</f>
        <v>66</v>
      </c>
      <c r="F81" s="77" t="s">
        <v>420</v>
      </c>
      <c r="G81" s="78">
        <v>30000.0</v>
      </c>
      <c r="H81" s="78">
        <v>0.0</v>
      </c>
      <c r="I81" s="78">
        <f>IFERROR(__xludf.DUMMYFUNCTION("+G81-H81"),30000.0)</f>
        <v>30000</v>
      </c>
      <c r="J81" s="78">
        <v>0.0</v>
      </c>
      <c r="K81" s="78">
        <f>IFERROR(__xludf.DUMMYFUNCTION("+I81+J81"),30000.0)</f>
        <v>30000</v>
      </c>
      <c r="L81" s="79">
        <f>IFERROR(__xludf.DUMMYFUNCTION("+K81/$K$190"),0.002158273381294964)</f>
        <v>0.002158273381</v>
      </c>
      <c r="M81" s="78">
        <f>IFERROR(__xludf.DUMMYFUNCTION("+K81/$T$9"),0.36484366448976613)</f>
        <v>0.3648436645</v>
      </c>
      <c r="N81" s="80">
        <f>IFERROR(__xludf.DUMMYFUNCTION("+K81-SUM(O81:AL81)"),29016.25)</f>
        <v>29016.25</v>
      </c>
      <c r="O81" s="81">
        <v>0.0</v>
      </c>
      <c r="P81" s="88">
        <v>0.0</v>
      </c>
      <c r="Q81" s="89">
        <v>0.0</v>
      </c>
      <c r="R81" s="88">
        <v>471.87</v>
      </c>
      <c r="S81" s="89">
        <v>0.0</v>
      </c>
      <c r="T81" s="89">
        <v>0.0</v>
      </c>
      <c r="U81" s="89">
        <v>0.0</v>
      </c>
      <c r="V81" s="88">
        <v>511.88</v>
      </c>
      <c r="W81" s="89">
        <v>0.0</v>
      </c>
      <c r="X81" s="89">
        <v>0.0</v>
      </c>
      <c r="Y81" s="89">
        <v>0.0</v>
      </c>
      <c r="Z81" s="89">
        <v>0.0</v>
      </c>
      <c r="AA81" s="89">
        <v>0.0</v>
      </c>
      <c r="AB81" s="89">
        <v>0.0</v>
      </c>
      <c r="AC81" s="89">
        <v>0.0</v>
      </c>
      <c r="AD81" s="89">
        <v>0.0</v>
      </c>
      <c r="AE81" s="89">
        <v>0.0</v>
      </c>
      <c r="AF81" s="89">
        <v>0.0</v>
      </c>
      <c r="AG81" s="89">
        <v>0.0</v>
      </c>
      <c r="AH81" s="89">
        <v>0.0</v>
      </c>
      <c r="AI81" s="89">
        <v>0.0</v>
      </c>
      <c r="AJ81" s="89">
        <v>0.0</v>
      </c>
      <c r="AK81" s="90">
        <v>0.0</v>
      </c>
      <c r="AL81" s="85"/>
      <c r="AM81" s="85">
        <f t="shared" si="1"/>
        <v>983.75</v>
      </c>
      <c r="AN81" s="86">
        <f t="shared" si="2"/>
        <v>0.03279166667</v>
      </c>
      <c r="AO81" s="13"/>
    </row>
    <row r="82" ht="30.0" customHeight="1">
      <c r="A82" s="4" t="str">
        <f>IFERROR(VLOOKUP(C82,'Product List'!$A$2:$C198,2,FALSE),"")</f>
        <v/>
      </c>
      <c r="B82" s="5" t="str">
        <f>IFERROR(VLOOKUP(C82,'Product List'!$A$2:$C198,3,FALSE),"")</f>
        <v/>
      </c>
      <c r="C82" s="6"/>
      <c r="D82" s="5"/>
      <c r="E82" s="76">
        <f>IFERROR(__xludf.DUMMYFUNCTION("+E81+1"),67.0)</f>
        <v>67</v>
      </c>
      <c r="F82" s="77" t="s">
        <v>421</v>
      </c>
      <c r="G82" s="78">
        <v>180000.0</v>
      </c>
      <c r="H82" s="78">
        <v>171331.0</v>
      </c>
      <c r="I82" s="78">
        <f>IFERROR(__xludf.DUMMYFUNCTION("+G82-H82"),8669.0)</f>
        <v>8669</v>
      </c>
      <c r="J82" s="78">
        <v>0.0</v>
      </c>
      <c r="K82" s="78">
        <f>IFERROR(__xludf.DUMMYFUNCTION("+I82+J82"),8669.0)</f>
        <v>8669</v>
      </c>
      <c r="L82" s="79">
        <f>IFERROR(__xludf.DUMMYFUNCTION("+K82/$K$190"),6.236690647482015E-4)</f>
        <v>0.0006236690647</v>
      </c>
      <c r="M82" s="78">
        <f>IFERROR(__xludf.DUMMYFUNCTION("+K82/$T$9"),0.10542765758205942)</f>
        <v>0.1054276576</v>
      </c>
      <c r="N82" s="80">
        <f>IFERROR(__xludf.DUMMYFUNCTION("+K82-SUM(O82:AL82)"),8669.0)</f>
        <v>8669</v>
      </c>
      <c r="O82" s="81">
        <v>0.0</v>
      </c>
      <c r="P82" s="88">
        <v>0.0</v>
      </c>
      <c r="Q82" s="89">
        <v>0.0</v>
      </c>
      <c r="R82" s="88">
        <v>0.0</v>
      </c>
      <c r="S82" s="89">
        <v>0.0</v>
      </c>
      <c r="T82" s="89">
        <v>0.0</v>
      </c>
      <c r="U82" s="89">
        <v>0.0</v>
      </c>
      <c r="V82" s="89">
        <v>0.0</v>
      </c>
      <c r="W82" s="89">
        <v>0.0</v>
      </c>
      <c r="X82" s="89">
        <v>0.0</v>
      </c>
      <c r="Y82" s="89">
        <v>0.0</v>
      </c>
      <c r="Z82" s="89">
        <v>0.0</v>
      </c>
      <c r="AA82" s="89">
        <v>0.0</v>
      </c>
      <c r="AB82" s="89">
        <v>0.0</v>
      </c>
      <c r="AC82" s="89">
        <v>0.0</v>
      </c>
      <c r="AD82" s="89">
        <v>0.0</v>
      </c>
      <c r="AE82" s="89">
        <v>0.0</v>
      </c>
      <c r="AF82" s="89">
        <v>0.0</v>
      </c>
      <c r="AG82" s="89">
        <v>0.0</v>
      </c>
      <c r="AH82" s="89">
        <v>0.0</v>
      </c>
      <c r="AI82" s="89">
        <v>0.0</v>
      </c>
      <c r="AJ82" s="89">
        <v>0.0</v>
      </c>
      <c r="AK82" s="90">
        <v>0.0</v>
      </c>
      <c r="AL82" s="85"/>
      <c r="AM82" s="85">
        <f t="shared" si="1"/>
        <v>0</v>
      </c>
      <c r="AN82" s="86">
        <f t="shared" si="2"/>
        <v>0</v>
      </c>
      <c r="AO82" s="13"/>
    </row>
    <row r="83" ht="30.0" customHeight="1">
      <c r="A83" s="4" t="str">
        <f>IFERROR(VLOOKUP(C83,'Product List'!$A$2:$C198,2,FALSE),"")</f>
        <v/>
      </c>
      <c r="B83" s="5" t="str">
        <f>IFERROR(VLOOKUP(C83,'Product List'!$A$2:$C198,3,FALSE),"")</f>
        <v/>
      </c>
      <c r="C83" s="6"/>
      <c r="D83" s="5"/>
      <c r="E83" s="76">
        <f>IFERROR(__xludf.DUMMYFUNCTION("+E82+1"),68.0)</f>
        <v>68</v>
      </c>
      <c r="F83" s="77" t="s">
        <v>422</v>
      </c>
      <c r="G83" s="78">
        <v>260000.0</v>
      </c>
      <c r="H83" s="78">
        <v>27000.0</v>
      </c>
      <c r="I83" s="78">
        <f>IFERROR(__xludf.DUMMYFUNCTION("+G83-H83"),233000.0)</f>
        <v>233000</v>
      </c>
      <c r="J83" s="78">
        <v>0.0</v>
      </c>
      <c r="K83" s="78">
        <f>IFERROR(__xludf.DUMMYFUNCTION("+I83+J83"),233000.0)</f>
        <v>233000</v>
      </c>
      <c r="L83" s="79">
        <f>IFERROR(__xludf.DUMMYFUNCTION("+K83/$K$190"),0.016762589928057552)</f>
        <v>0.01676258993</v>
      </c>
      <c r="M83" s="78">
        <f>IFERROR(__xludf.DUMMYFUNCTION("+K83/$T$9"),2.8336191275371836)</f>
        <v>2.833619128</v>
      </c>
      <c r="N83" s="80">
        <f>IFERROR(__xludf.DUMMYFUNCTION("+K83-SUM(O83:AL83)"),68000.0)</f>
        <v>68000</v>
      </c>
      <c r="O83" s="87">
        <v>29000.0</v>
      </c>
      <c r="P83" s="88">
        <v>17000.0</v>
      </c>
      <c r="Q83" s="89">
        <v>17000.0</v>
      </c>
      <c r="R83" s="88">
        <v>17000.0</v>
      </c>
      <c r="S83" s="88">
        <v>17000.0</v>
      </c>
      <c r="T83" s="88">
        <v>34000.0</v>
      </c>
      <c r="U83" s="89">
        <v>0.0</v>
      </c>
      <c r="V83" s="88">
        <v>34000.0</v>
      </c>
      <c r="W83" s="89">
        <v>0.0</v>
      </c>
      <c r="X83" s="89">
        <v>0.0</v>
      </c>
      <c r="Y83" s="89">
        <v>0.0</v>
      </c>
      <c r="Z83" s="89">
        <v>0.0</v>
      </c>
      <c r="AA83" s="89">
        <v>0.0</v>
      </c>
      <c r="AB83" s="89">
        <v>0.0</v>
      </c>
      <c r="AC83" s="89">
        <v>0.0</v>
      </c>
      <c r="AD83" s="89">
        <v>0.0</v>
      </c>
      <c r="AE83" s="89">
        <v>0.0</v>
      </c>
      <c r="AF83" s="89">
        <v>0.0</v>
      </c>
      <c r="AG83" s="89">
        <v>0.0</v>
      </c>
      <c r="AH83" s="89">
        <v>0.0</v>
      </c>
      <c r="AI83" s="89">
        <v>0.0</v>
      </c>
      <c r="AJ83" s="89">
        <v>0.0</v>
      </c>
      <c r="AK83" s="90">
        <v>0.0</v>
      </c>
      <c r="AL83" s="85"/>
      <c r="AM83" s="85">
        <f t="shared" si="1"/>
        <v>165000</v>
      </c>
      <c r="AN83" s="86">
        <f t="shared" si="2"/>
        <v>0.7081545064</v>
      </c>
      <c r="AO83" s="13"/>
    </row>
    <row r="84" ht="30.0" customHeight="1">
      <c r="A84" s="4" t="str">
        <f>IFERROR(VLOOKUP(C84,'Product List'!$A$2:$C198,2,FALSE),"")</f>
        <v/>
      </c>
      <c r="B84" s="5" t="str">
        <f>IFERROR(VLOOKUP(C84,'Product List'!$A$2:$C198,3,FALSE),"")</f>
        <v/>
      </c>
      <c r="C84" s="6"/>
      <c r="D84" s="5"/>
      <c r="E84" s="76">
        <f>IFERROR(__xludf.DUMMYFUNCTION("+E83+1"),69.0)</f>
        <v>69</v>
      </c>
      <c r="F84" s="77" t="s">
        <v>423</v>
      </c>
      <c r="G84" s="78">
        <v>667000.0</v>
      </c>
      <c r="H84" s="78">
        <v>200000.0</v>
      </c>
      <c r="I84" s="78">
        <f>IFERROR(__xludf.DUMMYFUNCTION("+G84-H84"),467000.0)</f>
        <v>467000</v>
      </c>
      <c r="J84" s="78">
        <v>0.0</v>
      </c>
      <c r="K84" s="78">
        <f>IFERROR(__xludf.DUMMYFUNCTION("+I84+J84"),467000.0)</f>
        <v>467000</v>
      </c>
      <c r="L84" s="79">
        <f>IFERROR(__xludf.DUMMYFUNCTION("+K84/$K$190"),0.03359712230215827)</f>
        <v>0.0335971223</v>
      </c>
      <c r="M84" s="78">
        <f>IFERROR(__xludf.DUMMYFUNCTION("+K84/$T$9"),5.67939971055736)</f>
        <v>5.679399711</v>
      </c>
      <c r="N84" s="80">
        <f>IFERROR(__xludf.DUMMYFUNCTION("+K84-SUM(O84:AL84)"),467000.0)</f>
        <v>467000</v>
      </c>
      <c r="O84" s="81">
        <v>0.0</v>
      </c>
      <c r="P84" s="88">
        <v>0.0</v>
      </c>
      <c r="Q84" s="89">
        <v>0.0</v>
      </c>
      <c r="R84" s="88">
        <v>0.0</v>
      </c>
      <c r="S84" s="89">
        <v>0.0</v>
      </c>
      <c r="T84" s="89">
        <v>0.0</v>
      </c>
      <c r="U84" s="89">
        <v>0.0</v>
      </c>
      <c r="V84" s="89">
        <v>0.0</v>
      </c>
      <c r="W84" s="89">
        <v>0.0</v>
      </c>
      <c r="X84" s="89">
        <v>0.0</v>
      </c>
      <c r="Y84" s="89">
        <v>0.0</v>
      </c>
      <c r="Z84" s="89">
        <v>0.0</v>
      </c>
      <c r="AA84" s="89">
        <v>0.0</v>
      </c>
      <c r="AB84" s="89">
        <v>0.0</v>
      </c>
      <c r="AC84" s="89">
        <v>0.0</v>
      </c>
      <c r="AD84" s="89">
        <v>0.0</v>
      </c>
      <c r="AE84" s="89">
        <v>0.0</v>
      </c>
      <c r="AF84" s="89">
        <v>0.0</v>
      </c>
      <c r="AG84" s="89">
        <v>0.0</v>
      </c>
      <c r="AH84" s="89">
        <v>0.0</v>
      </c>
      <c r="AI84" s="89">
        <v>0.0</v>
      </c>
      <c r="AJ84" s="89">
        <v>0.0</v>
      </c>
      <c r="AK84" s="90">
        <v>0.0</v>
      </c>
      <c r="AL84" s="85"/>
      <c r="AM84" s="85">
        <f t="shared" si="1"/>
        <v>0</v>
      </c>
      <c r="AN84" s="86">
        <f t="shared" si="2"/>
        <v>0</v>
      </c>
      <c r="AO84" s="13"/>
    </row>
    <row r="85" ht="30.0" customHeight="1">
      <c r="A85" s="4" t="str">
        <f>IFERROR(VLOOKUP(C85,'Product List'!$A$2:$C198,2,FALSE),"")</f>
        <v/>
      </c>
      <c r="B85" s="5" t="str">
        <f>IFERROR(VLOOKUP(C85,'Product List'!$A$2:$C198,3,FALSE),"")</f>
        <v/>
      </c>
      <c r="C85" s="6"/>
      <c r="D85" s="5"/>
      <c r="E85" s="76">
        <f>IFERROR(__xludf.DUMMYFUNCTION("+E84+1"),70.0)</f>
        <v>70</v>
      </c>
      <c r="F85" s="77" t="s">
        <v>424</v>
      </c>
      <c r="G85" s="78">
        <v>588368.19</v>
      </c>
      <c r="H85" s="78">
        <v>588368.19</v>
      </c>
      <c r="I85" s="78">
        <f>IFERROR(__xludf.DUMMYFUNCTION("+G85-H85"),0.0)</f>
        <v>0</v>
      </c>
      <c r="J85" s="78">
        <v>0.0</v>
      </c>
      <c r="K85" s="78">
        <f>IFERROR(__xludf.DUMMYFUNCTION("+I85+J85"),0.0)</f>
        <v>0</v>
      </c>
      <c r="L85" s="79">
        <f>IFERROR(__xludf.DUMMYFUNCTION("+K85/$K$190"),0.0)</f>
        <v>0</v>
      </c>
      <c r="M85" s="78">
        <f>IFERROR(__xludf.DUMMYFUNCTION("+K85/$T$9"),0.0)</f>
        <v>0</v>
      </c>
      <c r="N85" s="80">
        <f>IFERROR(__xludf.DUMMYFUNCTION("+K85-SUM(O85:AL85)"),0.0)</f>
        <v>0</v>
      </c>
      <c r="O85" s="81">
        <v>0.0</v>
      </c>
      <c r="P85" s="88">
        <v>0.0</v>
      </c>
      <c r="Q85" s="89">
        <v>0.0</v>
      </c>
      <c r="R85" s="88">
        <v>0.0</v>
      </c>
      <c r="S85" s="89">
        <v>0.0</v>
      </c>
      <c r="T85" s="89">
        <v>0.0</v>
      </c>
      <c r="U85" s="89">
        <v>0.0</v>
      </c>
      <c r="V85" s="89">
        <v>0.0</v>
      </c>
      <c r="W85" s="89">
        <v>0.0</v>
      </c>
      <c r="X85" s="89">
        <v>0.0</v>
      </c>
      <c r="Y85" s="89">
        <v>0.0</v>
      </c>
      <c r="Z85" s="89">
        <v>0.0</v>
      </c>
      <c r="AA85" s="89">
        <v>0.0</v>
      </c>
      <c r="AB85" s="89">
        <v>0.0</v>
      </c>
      <c r="AC85" s="89">
        <v>0.0</v>
      </c>
      <c r="AD85" s="89">
        <v>0.0</v>
      </c>
      <c r="AE85" s="89">
        <v>0.0</v>
      </c>
      <c r="AF85" s="89">
        <v>0.0</v>
      </c>
      <c r="AG85" s="89">
        <v>0.0</v>
      </c>
      <c r="AH85" s="89">
        <v>0.0</v>
      </c>
      <c r="AI85" s="89">
        <v>0.0</v>
      </c>
      <c r="AJ85" s="89">
        <v>0.0</v>
      </c>
      <c r="AK85" s="90">
        <v>0.0</v>
      </c>
      <c r="AL85" s="85"/>
      <c r="AM85" s="85">
        <f t="shared" si="1"/>
        <v>0</v>
      </c>
      <c r="AN85" s="86" t="str">
        <f t="shared" si="2"/>
        <v/>
      </c>
      <c r="AO85" s="13"/>
    </row>
    <row r="86" ht="30.0" customHeight="1">
      <c r="A86" s="4" t="str">
        <f>IFERROR(VLOOKUP(C86,'Product List'!$A$2:$C198,2,FALSE),"")</f>
        <v/>
      </c>
      <c r="B86" s="5" t="str">
        <f>IFERROR(VLOOKUP(C86,'Product List'!$A$2:$C198,3,FALSE),"")</f>
        <v/>
      </c>
      <c r="C86" s="6"/>
      <c r="D86" s="5"/>
      <c r="E86" s="76">
        <f>IFERROR(__xludf.DUMMYFUNCTION("+E85+1"),71.0)</f>
        <v>71</v>
      </c>
      <c r="F86" s="77" t="s">
        <v>425</v>
      </c>
      <c r="G86" s="78">
        <v>765501.37</v>
      </c>
      <c r="H86" s="78">
        <v>32517.84</v>
      </c>
      <c r="I86" s="78">
        <f>IFERROR(__xludf.DUMMYFUNCTION("+G86-H86"),732983.53)</f>
        <v>732983.53</v>
      </c>
      <c r="J86" s="78">
        <v>0.0</v>
      </c>
      <c r="K86" s="78">
        <f>IFERROR(__xludf.DUMMYFUNCTION("+I86+J86"),732983.53)</f>
        <v>732983.53</v>
      </c>
      <c r="L86" s="79">
        <f>IFERROR(__xludf.DUMMYFUNCTION("+K86/$K$190"),0.05273262805755396)</f>
        <v>0.05273262806</v>
      </c>
      <c r="M86" s="78">
        <f>IFERROR(__xludf.DUMMYFUNCTION("+K86/$T$9"),8.914146569861481)</f>
        <v>8.91414657</v>
      </c>
      <c r="N86" s="80">
        <f>IFERROR(__xludf.DUMMYFUNCTION("+K86-SUM(O86:AL86)"),455195.59750000003)</f>
        <v>455195.5975</v>
      </c>
      <c r="O86" s="81">
        <v>31670.86500000001</v>
      </c>
      <c r="P86" s="88">
        <v>45486.89</v>
      </c>
      <c r="Q86" s="88">
        <v>56446.59</v>
      </c>
      <c r="R86" s="88">
        <f>((267613.58)+SUM(R16:R85))*0.05</f>
        <v>33096.9445</v>
      </c>
      <c r="S86" s="88">
        <v>6277.74</v>
      </c>
      <c r="T86" s="88">
        <v>22112.94</v>
      </c>
      <c r="U86" s="88">
        <v>21316.7</v>
      </c>
      <c r="V86" s="89">
        <f>SUM(V16:V85)*0.05</f>
        <v>61379.263</v>
      </c>
      <c r="W86" s="89">
        <v>0.0</v>
      </c>
      <c r="X86" s="89">
        <v>0.0</v>
      </c>
      <c r="Y86" s="89">
        <v>0.0</v>
      </c>
      <c r="Z86" s="89">
        <v>0.0</v>
      </c>
      <c r="AA86" s="89">
        <v>0.0</v>
      </c>
      <c r="AB86" s="89">
        <v>0.0</v>
      </c>
      <c r="AC86" s="89">
        <v>0.0</v>
      </c>
      <c r="AD86" s="89">
        <v>0.0</v>
      </c>
      <c r="AE86" s="89">
        <v>0.0</v>
      </c>
      <c r="AF86" s="89">
        <v>0.0</v>
      </c>
      <c r="AG86" s="89">
        <v>0.0</v>
      </c>
      <c r="AH86" s="89">
        <v>0.0</v>
      </c>
      <c r="AI86" s="89">
        <v>0.0</v>
      </c>
      <c r="AJ86" s="89">
        <v>0.0</v>
      </c>
      <c r="AK86" s="90">
        <v>0.0</v>
      </c>
      <c r="AL86" s="85"/>
      <c r="AM86" s="85">
        <f t="shared" si="1"/>
        <v>277787.9325</v>
      </c>
      <c r="AN86" s="86">
        <f t="shared" si="2"/>
        <v>0.3789825025</v>
      </c>
      <c r="AO86" s="13"/>
    </row>
    <row r="87" ht="30.0" hidden="1" customHeight="1">
      <c r="A87" s="4" t="str">
        <f>IFERROR(VLOOKUP(C87,'Product List'!$A$2:$C198,2,FALSE),"")</f>
        <v/>
      </c>
      <c r="B87" s="5" t="str">
        <f>IFERROR(VLOOKUP(C87,'Product List'!$A$2:$C198,3,FALSE),"")</f>
        <v/>
      </c>
      <c r="C87" s="6"/>
      <c r="D87" s="5"/>
      <c r="E87" s="76">
        <f>IFERROR(__xludf.DUMMYFUNCTION("+E86+1"),72.0)</f>
        <v>72</v>
      </c>
      <c r="F87" s="77"/>
      <c r="G87" s="78">
        <v>0.0</v>
      </c>
      <c r="H87" s="78">
        <v>0.0</v>
      </c>
      <c r="I87" s="78">
        <f>IFERROR(__xludf.DUMMYFUNCTION("+G87-H87"),0.0)</f>
        <v>0</v>
      </c>
      <c r="J87" s="78">
        <v>0.0</v>
      </c>
      <c r="K87" s="78">
        <f>IFERROR(__xludf.DUMMYFUNCTION("+I87+J87"),0.0)</f>
        <v>0</v>
      </c>
      <c r="L87" s="79">
        <f>IFERROR(__xludf.DUMMYFUNCTION("+K87/$K$190"),0.0)</f>
        <v>0</v>
      </c>
      <c r="M87" s="78">
        <f>IFERROR(__xludf.DUMMYFUNCTION("+K87/$T$9"),0.0)</f>
        <v>0</v>
      </c>
      <c r="N87" s="80">
        <f>IFERROR(__xludf.DUMMYFUNCTION("+K87-SUM(O87:AL87)"),0.0)</f>
        <v>0</v>
      </c>
      <c r="O87" s="81">
        <v>0.0</v>
      </c>
      <c r="P87" s="89">
        <v>0.0</v>
      </c>
      <c r="Q87" s="89">
        <v>0.0</v>
      </c>
      <c r="R87" s="89">
        <v>0.0</v>
      </c>
      <c r="S87" s="89">
        <v>0.0</v>
      </c>
      <c r="T87" s="89">
        <v>0.0</v>
      </c>
      <c r="U87" s="89">
        <v>0.0</v>
      </c>
      <c r="V87" s="89">
        <v>0.0</v>
      </c>
      <c r="W87" s="89">
        <v>0.0</v>
      </c>
      <c r="X87" s="89">
        <v>0.0</v>
      </c>
      <c r="Y87" s="89">
        <v>0.0</v>
      </c>
      <c r="Z87" s="89">
        <v>0.0</v>
      </c>
      <c r="AA87" s="89">
        <v>0.0</v>
      </c>
      <c r="AB87" s="89">
        <v>0.0</v>
      </c>
      <c r="AC87" s="89">
        <v>0.0</v>
      </c>
      <c r="AD87" s="89">
        <v>0.0</v>
      </c>
      <c r="AE87" s="89">
        <v>0.0</v>
      </c>
      <c r="AF87" s="89">
        <v>0.0</v>
      </c>
      <c r="AG87" s="89">
        <v>0.0</v>
      </c>
      <c r="AH87" s="89">
        <v>0.0</v>
      </c>
      <c r="AI87" s="89">
        <v>0.0</v>
      </c>
      <c r="AJ87" s="89">
        <v>0.0</v>
      </c>
      <c r="AK87" s="90">
        <v>0.0</v>
      </c>
      <c r="AL87" s="85"/>
      <c r="AM87" s="85">
        <f t="shared" si="1"/>
        <v>0</v>
      </c>
      <c r="AN87" s="86" t="str">
        <f t="shared" si="2"/>
        <v/>
      </c>
      <c r="AO87" s="13"/>
    </row>
    <row r="88" ht="30.0" hidden="1" customHeight="1">
      <c r="A88" s="4" t="str">
        <f>IFERROR(VLOOKUP(C88,'Product List'!$A$2:$C198,2,FALSE),"")</f>
        <v/>
      </c>
      <c r="B88" s="5" t="str">
        <f>IFERROR(VLOOKUP(C88,'Product List'!$A$2:$C198,3,FALSE),"")</f>
        <v/>
      </c>
      <c r="C88" s="6"/>
      <c r="D88" s="5"/>
      <c r="E88" s="76">
        <f>IFERROR(__xludf.DUMMYFUNCTION("+E87+1"),73.0)</f>
        <v>73</v>
      </c>
      <c r="F88" s="77"/>
      <c r="G88" s="78">
        <v>0.0</v>
      </c>
      <c r="H88" s="78">
        <v>0.0</v>
      </c>
      <c r="I88" s="78">
        <f>IFERROR(__xludf.DUMMYFUNCTION("+G88-H88"),0.0)</f>
        <v>0</v>
      </c>
      <c r="J88" s="78">
        <v>0.0</v>
      </c>
      <c r="K88" s="78">
        <f>IFERROR(__xludf.DUMMYFUNCTION("+I88+J88"),0.0)</f>
        <v>0</v>
      </c>
      <c r="L88" s="79">
        <f>IFERROR(__xludf.DUMMYFUNCTION("+K88/$K$190"),0.0)</f>
        <v>0</v>
      </c>
      <c r="M88" s="78">
        <f>IFERROR(__xludf.DUMMYFUNCTION("+K88/$T$9"),0.0)</f>
        <v>0</v>
      </c>
      <c r="N88" s="80">
        <f>IFERROR(__xludf.DUMMYFUNCTION("+K88-SUM(O88:AL88)"),0.0)</f>
        <v>0</v>
      </c>
      <c r="O88" s="81">
        <v>0.0</v>
      </c>
      <c r="P88" s="89">
        <v>0.0</v>
      </c>
      <c r="Q88" s="89">
        <v>0.0</v>
      </c>
      <c r="R88" s="89">
        <v>0.0</v>
      </c>
      <c r="S88" s="89">
        <v>0.0</v>
      </c>
      <c r="T88" s="89">
        <v>0.0</v>
      </c>
      <c r="U88" s="89">
        <v>0.0</v>
      </c>
      <c r="V88" s="89">
        <v>0.0</v>
      </c>
      <c r="W88" s="89">
        <v>0.0</v>
      </c>
      <c r="X88" s="89">
        <v>0.0</v>
      </c>
      <c r="Y88" s="89">
        <v>0.0</v>
      </c>
      <c r="Z88" s="89">
        <v>0.0</v>
      </c>
      <c r="AA88" s="89">
        <v>0.0</v>
      </c>
      <c r="AB88" s="89">
        <v>0.0</v>
      </c>
      <c r="AC88" s="89">
        <v>0.0</v>
      </c>
      <c r="AD88" s="89">
        <v>0.0</v>
      </c>
      <c r="AE88" s="89">
        <v>0.0</v>
      </c>
      <c r="AF88" s="89">
        <v>0.0</v>
      </c>
      <c r="AG88" s="89">
        <v>0.0</v>
      </c>
      <c r="AH88" s="89">
        <v>0.0</v>
      </c>
      <c r="AI88" s="89">
        <v>0.0</v>
      </c>
      <c r="AJ88" s="89">
        <v>0.0</v>
      </c>
      <c r="AK88" s="90">
        <v>0.0</v>
      </c>
      <c r="AL88" s="85"/>
      <c r="AM88" s="85">
        <f t="shared" si="1"/>
        <v>0</v>
      </c>
      <c r="AN88" s="86" t="str">
        <f t="shared" si="2"/>
        <v/>
      </c>
      <c r="AO88" s="13"/>
    </row>
    <row r="89" ht="30.0" hidden="1" customHeight="1">
      <c r="A89" s="4" t="str">
        <f>IFERROR(VLOOKUP(C89,'Product List'!$A$2:$C198,2,FALSE),"")</f>
        <v/>
      </c>
      <c r="B89" s="5" t="str">
        <f>IFERROR(VLOOKUP(C89,'Product List'!$A$2:$C198,3,FALSE),"")</f>
        <v/>
      </c>
      <c r="C89" s="6"/>
      <c r="D89" s="5"/>
      <c r="E89" s="76">
        <f>IFERROR(__xludf.DUMMYFUNCTION("+E88+1"),74.0)</f>
        <v>74</v>
      </c>
      <c r="F89" s="77"/>
      <c r="G89" s="78">
        <v>0.0</v>
      </c>
      <c r="H89" s="78">
        <v>0.0</v>
      </c>
      <c r="I89" s="78">
        <f>IFERROR(__xludf.DUMMYFUNCTION("+G89-H89"),0.0)</f>
        <v>0</v>
      </c>
      <c r="J89" s="78">
        <v>0.0</v>
      </c>
      <c r="K89" s="78">
        <f>IFERROR(__xludf.DUMMYFUNCTION("+I89+J89"),0.0)</f>
        <v>0</v>
      </c>
      <c r="L89" s="79">
        <f>IFERROR(__xludf.DUMMYFUNCTION("+K89/$K$190"),0.0)</f>
        <v>0</v>
      </c>
      <c r="M89" s="78">
        <f>IFERROR(__xludf.DUMMYFUNCTION("+K89/$T$9"),0.0)</f>
        <v>0</v>
      </c>
      <c r="N89" s="80">
        <f>IFERROR(__xludf.DUMMYFUNCTION("+K89-SUM(O89:AL89)"),0.0)</f>
        <v>0</v>
      </c>
      <c r="O89" s="81">
        <v>0.0</v>
      </c>
      <c r="P89" s="89">
        <v>0.0</v>
      </c>
      <c r="Q89" s="89">
        <v>0.0</v>
      </c>
      <c r="R89" s="89">
        <v>0.0</v>
      </c>
      <c r="S89" s="89">
        <v>0.0</v>
      </c>
      <c r="T89" s="89">
        <v>0.0</v>
      </c>
      <c r="U89" s="89">
        <v>0.0</v>
      </c>
      <c r="V89" s="89">
        <v>0.0</v>
      </c>
      <c r="W89" s="89">
        <v>0.0</v>
      </c>
      <c r="X89" s="89">
        <v>0.0</v>
      </c>
      <c r="Y89" s="89">
        <v>0.0</v>
      </c>
      <c r="Z89" s="89">
        <v>0.0</v>
      </c>
      <c r="AA89" s="89">
        <v>0.0</v>
      </c>
      <c r="AB89" s="89">
        <v>0.0</v>
      </c>
      <c r="AC89" s="89">
        <v>0.0</v>
      </c>
      <c r="AD89" s="89">
        <v>0.0</v>
      </c>
      <c r="AE89" s="89">
        <v>0.0</v>
      </c>
      <c r="AF89" s="89">
        <v>0.0</v>
      </c>
      <c r="AG89" s="89">
        <v>0.0</v>
      </c>
      <c r="AH89" s="89">
        <v>0.0</v>
      </c>
      <c r="AI89" s="89">
        <v>0.0</v>
      </c>
      <c r="AJ89" s="89">
        <v>0.0</v>
      </c>
      <c r="AK89" s="90">
        <v>0.0</v>
      </c>
      <c r="AL89" s="85"/>
      <c r="AM89" s="85">
        <f t="shared" si="1"/>
        <v>0</v>
      </c>
      <c r="AN89" s="86" t="str">
        <f t="shared" si="2"/>
        <v/>
      </c>
      <c r="AO89" s="13"/>
    </row>
    <row r="90" ht="30.0" hidden="1" customHeight="1">
      <c r="A90" s="4" t="str">
        <f>IFERROR(VLOOKUP(C90,'Product List'!$A$2:$C198,2,FALSE),"")</f>
        <v/>
      </c>
      <c r="B90" s="5" t="str">
        <f>IFERROR(VLOOKUP(C90,'Product List'!$A$2:$C198,3,FALSE),"")</f>
        <v/>
      </c>
      <c r="C90" s="6"/>
      <c r="D90" s="5"/>
      <c r="E90" s="76">
        <f>IFERROR(__xludf.DUMMYFUNCTION("+E89+1"),75.0)</f>
        <v>75</v>
      </c>
      <c r="F90" s="77"/>
      <c r="G90" s="78">
        <v>0.0</v>
      </c>
      <c r="H90" s="78">
        <v>0.0</v>
      </c>
      <c r="I90" s="78">
        <f>IFERROR(__xludf.DUMMYFUNCTION("+G90-H90"),0.0)</f>
        <v>0</v>
      </c>
      <c r="J90" s="78">
        <v>0.0</v>
      </c>
      <c r="K90" s="78">
        <f>IFERROR(__xludf.DUMMYFUNCTION("+I90+J90"),0.0)</f>
        <v>0</v>
      </c>
      <c r="L90" s="79">
        <f>IFERROR(__xludf.DUMMYFUNCTION("+K90/$K$190"),0.0)</f>
        <v>0</v>
      </c>
      <c r="M90" s="78">
        <f>IFERROR(__xludf.DUMMYFUNCTION("+K90/$T$9"),0.0)</f>
        <v>0</v>
      </c>
      <c r="N90" s="80">
        <f>IFERROR(__xludf.DUMMYFUNCTION("+K90-SUM(O90:AL90)"),0.0)</f>
        <v>0</v>
      </c>
      <c r="O90" s="81">
        <v>0.0</v>
      </c>
      <c r="P90" s="89">
        <v>0.0</v>
      </c>
      <c r="Q90" s="89">
        <v>0.0</v>
      </c>
      <c r="R90" s="89">
        <v>0.0</v>
      </c>
      <c r="S90" s="89">
        <v>0.0</v>
      </c>
      <c r="T90" s="89">
        <v>0.0</v>
      </c>
      <c r="U90" s="89">
        <v>0.0</v>
      </c>
      <c r="V90" s="89">
        <v>0.0</v>
      </c>
      <c r="W90" s="89">
        <v>0.0</v>
      </c>
      <c r="X90" s="89">
        <v>0.0</v>
      </c>
      <c r="Y90" s="89">
        <v>0.0</v>
      </c>
      <c r="Z90" s="89">
        <v>0.0</v>
      </c>
      <c r="AA90" s="89">
        <v>0.0</v>
      </c>
      <c r="AB90" s="89">
        <v>0.0</v>
      </c>
      <c r="AC90" s="89">
        <v>0.0</v>
      </c>
      <c r="AD90" s="89">
        <v>0.0</v>
      </c>
      <c r="AE90" s="89">
        <v>0.0</v>
      </c>
      <c r="AF90" s="89">
        <v>0.0</v>
      </c>
      <c r="AG90" s="89">
        <v>0.0</v>
      </c>
      <c r="AH90" s="89">
        <v>0.0</v>
      </c>
      <c r="AI90" s="89">
        <v>0.0</v>
      </c>
      <c r="AJ90" s="89">
        <v>0.0</v>
      </c>
      <c r="AK90" s="90">
        <v>0.0</v>
      </c>
      <c r="AL90" s="85"/>
      <c r="AM90" s="85">
        <f t="shared" si="1"/>
        <v>0</v>
      </c>
      <c r="AN90" s="86" t="str">
        <f t="shared" si="2"/>
        <v/>
      </c>
      <c r="AO90" s="13"/>
    </row>
    <row r="91" ht="30.0" hidden="1" customHeight="1">
      <c r="A91" s="4" t="str">
        <f>IFERROR(VLOOKUP(C91,'Product List'!$A$2:$C198,2,FALSE),"")</f>
        <v/>
      </c>
      <c r="B91" s="5" t="str">
        <f>IFERROR(VLOOKUP(C91,'Product List'!$A$2:$C198,3,FALSE),"")</f>
        <v/>
      </c>
      <c r="C91" s="6"/>
      <c r="D91" s="5"/>
      <c r="E91" s="76">
        <f>IFERROR(__xludf.DUMMYFUNCTION("+E90+1"),76.0)</f>
        <v>76</v>
      </c>
      <c r="F91" s="77"/>
      <c r="G91" s="78">
        <v>0.0</v>
      </c>
      <c r="H91" s="78">
        <v>0.0</v>
      </c>
      <c r="I91" s="78">
        <f>IFERROR(__xludf.DUMMYFUNCTION("+G91-H91"),0.0)</f>
        <v>0</v>
      </c>
      <c r="J91" s="78">
        <v>0.0</v>
      </c>
      <c r="K91" s="78">
        <f>IFERROR(__xludf.DUMMYFUNCTION("+I91+J91"),0.0)</f>
        <v>0</v>
      </c>
      <c r="L91" s="79">
        <f>IFERROR(__xludf.DUMMYFUNCTION("+K91/$K$190"),0.0)</f>
        <v>0</v>
      </c>
      <c r="M91" s="78">
        <f>IFERROR(__xludf.DUMMYFUNCTION("+K91/$T$9"),0.0)</f>
        <v>0</v>
      </c>
      <c r="N91" s="80">
        <f>IFERROR(__xludf.DUMMYFUNCTION("+K91-SUM(O91:AL91)"),0.0)</f>
        <v>0</v>
      </c>
      <c r="O91" s="81">
        <v>0.0</v>
      </c>
      <c r="P91" s="89">
        <v>0.0</v>
      </c>
      <c r="Q91" s="89">
        <v>0.0</v>
      </c>
      <c r="R91" s="89">
        <v>0.0</v>
      </c>
      <c r="S91" s="89">
        <v>0.0</v>
      </c>
      <c r="T91" s="89">
        <v>0.0</v>
      </c>
      <c r="U91" s="89">
        <v>0.0</v>
      </c>
      <c r="V91" s="89">
        <v>0.0</v>
      </c>
      <c r="W91" s="89">
        <v>0.0</v>
      </c>
      <c r="X91" s="89">
        <v>0.0</v>
      </c>
      <c r="Y91" s="89">
        <v>0.0</v>
      </c>
      <c r="Z91" s="89">
        <v>0.0</v>
      </c>
      <c r="AA91" s="89">
        <v>0.0</v>
      </c>
      <c r="AB91" s="89">
        <v>0.0</v>
      </c>
      <c r="AC91" s="89">
        <v>0.0</v>
      </c>
      <c r="AD91" s="89">
        <v>0.0</v>
      </c>
      <c r="AE91" s="89">
        <v>0.0</v>
      </c>
      <c r="AF91" s="89">
        <v>0.0</v>
      </c>
      <c r="AG91" s="89">
        <v>0.0</v>
      </c>
      <c r="AH91" s="89">
        <v>0.0</v>
      </c>
      <c r="AI91" s="89">
        <v>0.0</v>
      </c>
      <c r="AJ91" s="89">
        <v>0.0</v>
      </c>
      <c r="AK91" s="90">
        <v>0.0</v>
      </c>
      <c r="AL91" s="85"/>
      <c r="AM91" s="85">
        <f t="shared" si="1"/>
        <v>0</v>
      </c>
      <c r="AN91" s="86" t="str">
        <f t="shared" si="2"/>
        <v/>
      </c>
      <c r="AO91" s="13"/>
    </row>
    <row r="92" ht="30.0" hidden="1" customHeight="1">
      <c r="A92" s="4" t="str">
        <f>IFERROR(VLOOKUP(C92,'Product List'!$A$2:$C198,2,FALSE),"")</f>
        <v/>
      </c>
      <c r="B92" s="5" t="str">
        <f>IFERROR(VLOOKUP(C92,'Product List'!$A$2:$C198,3,FALSE),"")</f>
        <v/>
      </c>
      <c r="C92" s="6"/>
      <c r="D92" s="5"/>
      <c r="E92" s="76">
        <f>IFERROR(__xludf.DUMMYFUNCTION("+E91+1"),77.0)</f>
        <v>77</v>
      </c>
      <c r="F92" s="77"/>
      <c r="G92" s="78">
        <v>0.0</v>
      </c>
      <c r="H92" s="78">
        <v>0.0</v>
      </c>
      <c r="I92" s="78">
        <f>IFERROR(__xludf.DUMMYFUNCTION("+G92-H92"),0.0)</f>
        <v>0</v>
      </c>
      <c r="J92" s="78">
        <v>0.0</v>
      </c>
      <c r="K92" s="78">
        <f>IFERROR(__xludf.DUMMYFUNCTION("+I92+J92"),0.0)</f>
        <v>0</v>
      </c>
      <c r="L92" s="79">
        <f>IFERROR(__xludf.DUMMYFUNCTION("+K92/$K$190"),0.0)</f>
        <v>0</v>
      </c>
      <c r="M92" s="78">
        <f>IFERROR(__xludf.DUMMYFUNCTION("+K92/$T$9"),0.0)</f>
        <v>0</v>
      </c>
      <c r="N92" s="80">
        <f>IFERROR(__xludf.DUMMYFUNCTION("+K92-SUM(O92:AL92)"),0.0)</f>
        <v>0</v>
      </c>
      <c r="O92" s="81">
        <v>0.0</v>
      </c>
      <c r="P92" s="89">
        <v>0.0</v>
      </c>
      <c r="Q92" s="89">
        <v>0.0</v>
      </c>
      <c r="R92" s="89">
        <v>0.0</v>
      </c>
      <c r="S92" s="89">
        <v>0.0</v>
      </c>
      <c r="T92" s="89">
        <v>0.0</v>
      </c>
      <c r="U92" s="89">
        <v>0.0</v>
      </c>
      <c r="V92" s="89">
        <v>0.0</v>
      </c>
      <c r="W92" s="89">
        <v>0.0</v>
      </c>
      <c r="X92" s="89">
        <v>0.0</v>
      </c>
      <c r="Y92" s="89">
        <v>0.0</v>
      </c>
      <c r="Z92" s="89">
        <v>0.0</v>
      </c>
      <c r="AA92" s="89">
        <v>0.0</v>
      </c>
      <c r="AB92" s="89">
        <v>0.0</v>
      </c>
      <c r="AC92" s="89">
        <v>0.0</v>
      </c>
      <c r="AD92" s="89">
        <v>0.0</v>
      </c>
      <c r="AE92" s="89">
        <v>0.0</v>
      </c>
      <c r="AF92" s="89">
        <v>0.0</v>
      </c>
      <c r="AG92" s="89">
        <v>0.0</v>
      </c>
      <c r="AH92" s="89">
        <v>0.0</v>
      </c>
      <c r="AI92" s="89">
        <v>0.0</v>
      </c>
      <c r="AJ92" s="89">
        <v>0.0</v>
      </c>
      <c r="AK92" s="90">
        <v>0.0</v>
      </c>
      <c r="AL92" s="85"/>
      <c r="AM92" s="85">
        <f t="shared" si="1"/>
        <v>0</v>
      </c>
      <c r="AN92" s="86" t="str">
        <f t="shared" si="2"/>
        <v/>
      </c>
      <c r="AO92" s="13"/>
    </row>
    <row r="93" ht="30.0" hidden="1" customHeight="1">
      <c r="A93" s="4" t="str">
        <f>IFERROR(VLOOKUP(C93,'Product List'!$A$2:$C198,2,FALSE),"")</f>
        <v/>
      </c>
      <c r="B93" s="5" t="str">
        <f>IFERROR(VLOOKUP(C93,'Product List'!$A$2:$C198,3,FALSE),"")</f>
        <v/>
      </c>
      <c r="C93" s="6"/>
      <c r="D93" s="5"/>
      <c r="E93" s="76">
        <f>IFERROR(__xludf.DUMMYFUNCTION("+E92+1"),78.0)</f>
        <v>78</v>
      </c>
      <c r="F93" s="77"/>
      <c r="G93" s="78">
        <v>0.0</v>
      </c>
      <c r="H93" s="78">
        <v>0.0</v>
      </c>
      <c r="I93" s="78">
        <f>IFERROR(__xludf.DUMMYFUNCTION("+G93-H93"),0.0)</f>
        <v>0</v>
      </c>
      <c r="J93" s="78">
        <v>0.0</v>
      </c>
      <c r="K93" s="78">
        <f>IFERROR(__xludf.DUMMYFUNCTION("+I93+J93"),0.0)</f>
        <v>0</v>
      </c>
      <c r="L93" s="79">
        <f>IFERROR(__xludf.DUMMYFUNCTION("+K93/$K$190"),0.0)</f>
        <v>0</v>
      </c>
      <c r="M93" s="78">
        <f>IFERROR(__xludf.DUMMYFUNCTION("+K93/$T$9"),0.0)</f>
        <v>0</v>
      </c>
      <c r="N93" s="80">
        <f>IFERROR(__xludf.DUMMYFUNCTION("+K93-SUM(O93:AL93)"),0.0)</f>
        <v>0</v>
      </c>
      <c r="O93" s="81">
        <v>0.0</v>
      </c>
      <c r="P93" s="89">
        <v>0.0</v>
      </c>
      <c r="Q93" s="89">
        <v>0.0</v>
      </c>
      <c r="R93" s="89">
        <v>0.0</v>
      </c>
      <c r="S93" s="89">
        <v>0.0</v>
      </c>
      <c r="T93" s="89">
        <v>0.0</v>
      </c>
      <c r="U93" s="89">
        <v>0.0</v>
      </c>
      <c r="V93" s="89">
        <v>0.0</v>
      </c>
      <c r="W93" s="89">
        <v>0.0</v>
      </c>
      <c r="X93" s="89">
        <v>0.0</v>
      </c>
      <c r="Y93" s="89">
        <v>0.0</v>
      </c>
      <c r="Z93" s="89">
        <v>0.0</v>
      </c>
      <c r="AA93" s="89">
        <v>0.0</v>
      </c>
      <c r="AB93" s="89">
        <v>0.0</v>
      </c>
      <c r="AC93" s="89">
        <v>0.0</v>
      </c>
      <c r="AD93" s="89">
        <v>0.0</v>
      </c>
      <c r="AE93" s="89">
        <v>0.0</v>
      </c>
      <c r="AF93" s="89">
        <v>0.0</v>
      </c>
      <c r="AG93" s="89">
        <v>0.0</v>
      </c>
      <c r="AH93" s="89">
        <v>0.0</v>
      </c>
      <c r="AI93" s="89">
        <v>0.0</v>
      </c>
      <c r="AJ93" s="89">
        <v>0.0</v>
      </c>
      <c r="AK93" s="90">
        <v>0.0</v>
      </c>
      <c r="AL93" s="85"/>
      <c r="AM93" s="85">
        <f t="shared" si="1"/>
        <v>0</v>
      </c>
      <c r="AN93" s="86" t="str">
        <f t="shared" si="2"/>
        <v/>
      </c>
      <c r="AO93" s="13"/>
    </row>
    <row r="94" ht="30.0" hidden="1" customHeight="1">
      <c r="A94" s="4" t="str">
        <f>IFERROR(VLOOKUP(C94,'Product List'!$A$2:$C198,2,FALSE),"")</f>
        <v/>
      </c>
      <c r="B94" s="5" t="str">
        <f>IFERROR(VLOOKUP(C94,'Product List'!$A$2:$C198,3,FALSE),"")</f>
        <v/>
      </c>
      <c r="C94" s="6"/>
      <c r="D94" s="5"/>
      <c r="E94" s="76">
        <f>IFERROR(__xludf.DUMMYFUNCTION("+E93+1"),79.0)</f>
        <v>79</v>
      </c>
      <c r="F94" s="77"/>
      <c r="G94" s="78">
        <v>0.0</v>
      </c>
      <c r="H94" s="78">
        <v>0.0</v>
      </c>
      <c r="I94" s="78">
        <f>IFERROR(__xludf.DUMMYFUNCTION("+G94-H94"),0.0)</f>
        <v>0</v>
      </c>
      <c r="J94" s="78">
        <v>0.0</v>
      </c>
      <c r="K94" s="78">
        <f>IFERROR(__xludf.DUMMYFUNCTION("+I94+J94"),0.0)</f>
        <v>0</v>
      </c>
      <c r="L94" s="79">
        <f>IFERROR(__xludf.DUMMYFUNCTION("+K94/$K$190"),0.0)</f>
        <v>0</v>
      </c>
      <c r="M94" s="78">
        <f>IFERROR(__xludf.DUMMYFUNCTION("+K94/$T$9"),0.0)</f>
        <v>0</v>
      </c>
      <c r="N94" s="80">
        <f>IFERROR(__xludf.DUMMYFUNCTION("+K94-SUM(O94:AL94)"),0.0)</f>
        <v>0</v>
      </c>
      <c r="O94" s="81">
        <v>0.0</v>
      </c>
      <c r="P94" s="89">
        <v>0.0</v>
      </c>
      <c r="Q94" s="89">
        <v>0.0</v>
      </c>
      <c r="R94" s="89">
        <v>0.0</v>
      </c>
      <c r="S94" s="89">
        <v>0.0</v>
      </c>
      <c r="T94" s="89">
        <v>0.0</v>
      </c>
      <c r="U94" s="89">
        <v>0.0</v>
      </c>
      <c r="V94" s="89">
        <v>0.0</v>
      </c>
      <c r="W94" s="89">
        <v>0.0</v>
      </c>
      <c r="X94" s="89">
        <v>0.0</v>
      </c>
      <c r="Y94" s="89">
        <v>0.0</v>
      </c>
      <c r="Z94" s="89">
        <v>0.0</v>
      </c>
      <c r="AA94" s="89">
        <v>0.0</v>
      </c>
      <c r="AB94" s="89">
        <v>0.0</v>
      </c>
      <c r="AC94" s="89">
        <v>0.0</v>
      </c>
      <c r="AD94" s="89">
        <v>0.0</v>
      </c>
      <c r="AE94" s="89">
        <v>0.0</v>
      </c>
      <c r="AF94" s="89">
        <v>0.0</v>
      </c>
      <c r="AG94" s="89">
        <v>0.0</v>
      </c>
      <c r="AH94" s="89">
        <v>0.0</v>
      </c>
      <c r="AI94" s="89">
        <v>0.0</v>
      </c>
      <c r="AJ94" s="89">
        <v>0.0</v>
      </c>
      <c r="AK94" s="90">
        <v>0.0</v>
      </c>
      <c r="AL94" s="85"/>
      <c r="AM94" s="85">
        <f t="shared" si="1"/>
        <v>0</v>
      </c>
      <c r="AN94" s="86" t="str">
        <f t="shared" si="2"/>
        <v/>
      </c>
      <c r="AO94" s="13"/>
    </row>
    <row r="95" ht="30.0" hidden="1" customHeight="1">
      <c r="A95" s="4" t="str">
        <f>IFERROR(VLOOKUP(C95,'Product List'!$A$2:$C198,2,FALSE),"")</f>
        <v/>
      </c>
      <c r="B95" s="5" t="str">
        <f>IFERROR(VLOOKUP(C95,'Product List'!$A$2:$C198,3,FALSE),"")</f>
        <v/>
      </c>
      <c r="C95" s="6"/>
      <c r="D95" s="5"/>
      <c r="E95" s="76">
        <f>IFERROR(__xludf.DUMMYFUNCTION("+E94+1"),80.0)</f>
        <v>80</v>
      </c>
      <c r="F95" s="77"/>
      <c r="G95" s="78">
        <v>0.0</v>
      </c>
      <c r="H95" s="78">
        <v>0.0</v>
      </c>
      <c r="I95" s="78">
        <f>IFERROR(__xludf.DUMMYFUNCTION("+G95-H95"),0.0)</f>
        <v>0</v>
      </c>
      <c r="J95" s="78">
        <v>0.0</v>
      </c>
      <c r="K95" s="78">
        <f>IFERROR(__xludf.DUMMYFUNCTION("+I95+J95"),0.0)</f>
        <v>0</v>
      </c>
      <c r="L95" s="79">
        <f>IFERROR(__xludf.DUMMYFUNCTION("+K95/$K$190"),0.0)</f>
        <v>0</v>
      </c>
      <c r="M95" s="78">
        <f>IFERROR(__xludf.DUMMYFUNCTION("+K95/$T$9"),0.0)</f>
        <v>0</v>
      </c>
      <c r="N95" s="80">
        <f>IFERROR(__xludf.DUMMYFUNCTION("+K95-SUM(O95:AL95)"),0.0)</f>
        <v>0</v>
      </c>
      <c r="O95" s="81">
        <v>0.0</v>
      </c>
      <c r="P95" s="89">
        <v>0.0</v>
      </c>
      <c r="Q95" s="89">
        <v>0.0</v>
      </c>
      <c r="R95" s="89">
        <v>0.0</v>
      </c>
      <c r="S95" s="89">
        <v>0.0</v>
      </c>
      <c r="T95" s="89">
        <v>0.0</v>
      </c>
      <c r="U95" s="89">
        <v>0.0</v>
      </c>
      <c r="V95" s="89">
        <v>0.0</v>
      </c>
      <c r="W95" s="89">
        <v>0.0</v>
      </c>
      <c r="X95" s="89">
        <v>0.0</v>
      </c>
      <c r="Y95" s="89">
        <v>0.0</v>
      </c>
      <c r="Z95" s="89">
        <v>0.0</v>
      </c>
      <c r="AA95" s="89">
        <v>0.0</v>
      </c>
      <c r="AB95" s="89">
        <v>0.0</v>
      </c>
      <c r="AC95" s="89">
        <v>0.0</v>
      </c>
      <c r="AD95" s="89">
        <v>0.0</v>
      </c>
      <c r="AE95" s="89">
        <v>0.0</v>
      </c>
      <c r="AF95" s="89">
        <v>0.0</v>
      </c>
      <c r="AG95" s="89">
        <v>0.0</v>
      </c>
      <c r="AH95" s="89">
        <v>0.0</v>
      </c>
      <c r="AI95" s="89">
        <v>0.0</v>
      </c>
      <c r="AJ95" s="89">
        <v>0.0</v>
      </c>
      <c r="AK95" s="90">
        <v>0.0</v>
      </c>
      <c r="AL95" s="85"/>
      <c r="AM95" s="85">
        <f t="shared" si="1"/>
        <v>0</v>
      </c>
      <c r="AN95" s="86" t="str">
        <f t="shared" si="2"/>
        <v/>
      </c>
      <c r="AO95" s="13"/>
    </row>
    <row r="96" ht="30.0" hidden="1" customHeight="1">
      <c r="A96" s="4" t="str">
        <f>IFERROR(VLOOKUP(C96,'Product List'!$A$2:$C198,2,FALSE),"")</f>
        <v/>
      </c>
      <c r="B96" s="5" t="str">
        <f>IFERROR(VLOOKUP(C96,'Product List'!$A$2:$C198,3,FALSE),"")</f>
        <v/>
      </c>
      <c r="C96" s="6"/>
      <c r="D96" s="5"/>
      <c r="E96" s="76">
        <f>IFERROR(__xludf.DUMMYFUNCTION("+E95+1"),81.0)</f>
        <v>81</v>
      </c>
      <c r="F96" s="77"/>
      <c r="G96" s="78">
        <v>0.0</v>
      </c>
      <c r="H96" s="78">
        <v>0.0</v>
      </c>
      <c r="I96" s="78">
        <f>IFERROR(__xludf.DUMMYFUNCTION("+G96-H96"),0.0)</f>
        <v>0</v>
      </c>
      <c r="J96" s="78">
        <v>0.0</v>
      </c>
      <c r="K96" s="78">
        <f>IFERROR(__xludf.DUMMYFUNCTION("+I96+J96"),0.0)</f>
        <v>0</v>
      </c>
      <c r="L96" s="79">
        <f>IFERROR(__xludf.DUMMYFUNCTION("+K96/$K$190"),0.0)</f>
        <v>0</v>
      </c>
      <c r="M96" s="78">
        <f>IFERROR(__xludf.DUMMYFUNCTION("+K96/$T$9"),0.0)</f>
        <v>0</v>
      </c>
      <c r="N96" s="80">
        <f>IFERROR(__xludf.DUMMYFUNCTION("+K96-SUM(O96:AL96)"),0.0)</f>
        <v>0</v>
      </c>
      <c r="O96" s="81">
        <v>0.0</v>
      </c>
      <c r="P96" s="89">
        <v>0.0</v>
      </c>
      <c r="Q96" s="89">
        <v>0.0</v>
      </c>
      <c r="R96" s="89">
        <v>0.0</v>
      </c>
      <c r="S96" s="89">
        <v>0.0</v>
      </c>
      <c r="T96" s="89">
        <v>0.0</v>
      </c>
      <c r="U96" s="89">
        <v>0.0</v>
      </c>
      <c r="V96" s="89">
        <v>0.0</v>
      </c>
      <c r="W96" s="89">
        <v>0.0</v>
      </c>
      <c r="X96" s="89">
        <v>0.0</v>
      </c>
      <c r="Y96" s="89">
        <v>0.0</v>
      </c>
      <c r="Z96" s="89">
        <v>0.0</v>
      </c>
      <c r="AA96" s="89">
        <v>0.0</v>
      </c>
      <c r="AB96" s="89">
        <v>0.0</v>
      </c>
      <c r="AC96" s="89">
        <v>0.0</v>
      </c>
      <c r="AD96" s="89">
        <v>0.0</v>
      </c>
      <c r="AE96" s="89">
        <v>0.0</v>
      </c>
      <c r="AF96" s="89">
        <v>0.0</v>
      </c>
      <c r="AG96" s="89">
        <v>0.0</v>
      </c>
      <c r="AH96" s="89">
        <v>0.0</v>
      </c>
      <c r="AI96" s="89">
        <v>0.0</v>
      </c>
      <c r="AJ96" s="89">
        <v>0.0</v>
      </c>
      <c r="AK96" s="90">
        <v>0.0</v>
      </c>
      <c r="AL96" s="85"/>
      <c r="AM96" s="85">
        <f t="shared" si="1"/>
        <v>0</v>
      </c>
      <c r="AN96" s="86" t="str">
        <f t="shared" si="2"/>
        <v/>
      </c>
      <c r="AO96" s="13"/>
    </row>
    <row r="97" ht="30.0" hidden="1" customHeight="1">
      <c r="A97" s="4" t="str">
        <f>IFERROR(VLOOKUP(C97,'Product List'!$A$2:$C198,2,FALSE),"")</f>
        <v/>
      </c>
      <c r="B97" s="5" t="str">
        <f>IFERROR(VLOOKUP(C97,'Product List'!$A$2:$C198,3,FALSE),"")</f>
        <v/>
      </c>
      <c r="C97" s="6"/>
      <c r="D97" s="5"/>
      <c r="E97" s="76">
        <f>IFERROR(__xludf.DUMMYFUNCTION("+E96+1"),82.0)</f>
        <v>82</v>
      </c>
      <c r="F97" s="77"/>
      <c r="G97" s="78">
        <v>0.0</v>
      </c>
      <c r="H97" s="78">
        <v>0.0</v>
      </c>
      <c r="I97" s="78">
        <f>IFERROR(__xludf.DUMMYFUNCTION("+G97-H97"),0.0)</f>
        <v>0</v>
      </c>
      <c r="J97" s="78">
        <v>0.0</v>
      </c>
      <c r="K97" s="78">
        <f>IFERROR(__xludf.DUMMYFUNCTION("+I97+J97"),0.0)</f>
        <v>0</v>
      </c>
      <c r="L97" s="79">
        <f>IFERROR(__xludf.DUMMYFUNCTION("+K97/$K$190"),0.0)</f>
        <v>0</v>
      </c>
      <c r="M97" s="78">
        <f>IFERROR(__xludf.DUMMYFUNCTION("+K97/$T$9"),0.0)</f>
        <v>0</v>
      </c>
      <c r="N97" s="80">
        <f>IFERROR(__xludf.DUMMYFUNCTION("+K97-SUM(O97:AL97)"),0.0)</f>
        <v>0</v>
      </c>
      <c r="O97" s="81">
        <v>0.0</v>
      </c>
      <c r="P97" s="89">
        <v>0.0</v>
      </c>
      <c r="Q97" s="89">
        <v>0.0</v>
      </c>
      <c r="R97" s="89">
        <v>0.0</v>
      </c>
      <c r="S97" s="89">
        <v>0.0</v>
      </c>
      <c r="T97" s="89">
        <v>0.0</v>
      </c>
      <c r="U97" s="89">
        <v>0.0</v>
      </c>
      <c r="V97" s="89">
        <v>0.0</v>
      </c>
      <c r="W97" s="89">
        <v>0.0</v>
      </c>
      <c r="X97" s="89">
        <v>0.0</v>
      </c>
      <c r="Y97" s="89">
        <v>0.0</v>
      </c>
      <c r="Z97" s="89">
        <v>0.0</v>
      </c>
      <c r="AA97" s="89">
        <v>0.0</v>
      </c>
      <c r="AB97" s="89">
        <v>0.0</v>
      </c>
      <c r="AC97" s="89">
        <v>0.0</v>
      </c>
      <c r="AD97" s="89">
        <v>0.0</v>
      </c>
      <c r="AE97" s="89">
        <v>0.0</v>
      </c>
      <c r="AF97" s="89">
        <v>0.0</v>
      </c>
      <c r="AG97" s="89">
        <v>0.0</v>
      </c>
      <c r="AH97" s="89">
        <v>0.0</v>
      </c>
      <c r="AI97" s="89">
        <v>0.0</v>
      </c>
      <c r="AJ97" s="89">
        <v>0.0</v>
      </c>
      <c r="AK97" s="90">
        <v>0.0</v>
      </c>
      <c r="AL97" s="85"/>
      <c r="AM97" s="85">
        <f t="shared" si="1"/>
        <v>0</v>
      </c>
      <c r="AN97" s="86" t="str">
        <f t="shared" si="2"/>
        <v/>
      </c>
      <c r="AO97" s="13"/>
    </row>
    <row r="98" ht="30.0" hidden="1" customHeight="1">
      <c r="A98" s="4" t="str">
        <f>IFERROR(VLOOKUP(C98,'Product List'!$A$2:$C198,2,FALSE),"")</f>
        <v/>
      </c>
      <c r="B98" s="5" t="str">
        <f>IFERROR(VLOOKUP(C98,'Product List'!$A$2:$C198,3,FALSE),"")</f>
        <v/>
      </c>
      <c r="C98" s="6"/>
      <c r="D98" s="5"/>
      <c r="E98" s="76">
        <f>IFERROR(__xludf.DUMMYFUNCTION("+E97+1"),83.0)</f>
        <v>83</v>
      </c>
      <c r="F98" s="77"/>
      <c r="G98" s="78">
        <v>0.0</v>
      </c>
      <c r="H98" s="78">
        <v>0.0</v>
      </c>
      <c r="I98" s="78">
        <f>IFERROR(__xludf.DUMMYFUNCTION("+G98-H98"),0.0)</f>
        <v>0</v>
      </c>
      <c r="J98" s="78">
        <v>0.0</v>
      </c>
      <c r="K98" s="78">
        <f>IFERROR(__xludf.DUMMYFUNCTION("+I98+J98"),0.0)</f>
        <v>0</v>
      </c>
      <c r="L98" s="79">
        <f>IFERROR(__xludf.DUMMYFUNCTION("+K98/$K$190"),0.0)</f>
        <v>0</v>
      </c>
      <c r="M98" s="78">
        <f>IFERROR(__xludf.DUMMYFUNCTION("+K98/$T$9"),0.0)</f>
        <v>0</v>
      </c>
      <c r="N98" s="80">
        <f>IFERROR(__xludf.DUMMYFUNCTION("+K98-SUM(O98:AL98)"),0.0)</f>
        <v>0</v>
      </c>
      <c r="O98" s="81">
        <v>0.0</v>
      </c>
      <c r="P98" s="89">
        <v>0.0</v>
      </c>
      <c r="Q98" s="89">
        <v>0.0</v>
      </c>
      <c r="R98" s="89">
        <v>0.0</v>
      </c>
      <c r="S98" s="89">
        <v>0.0</v>
      </c>
      <c r="T98" s="89">
        <v>0.0</v>
      </c>
      <c r="U98" s="89">
        <v>0.0</v>
      </c>
      <c r="V98" s="89">
        <v>0.0</v>
      </c>
      <c r="W98" s="89">
        <v>0.0</v>
      </c>
      <c r="X98" s="89">
        <v>0.0</v>
      </c>
      <c r="Y98" s="89">
        <v>0.0</v>
      </c>
      <c r="Z98" s="89">
        <v>0.0</v>
      </c>
      <c r="AA98" s="89">
        <v>0.0</v>
      </c>
      <c r="AB98" s="89">
        <v>0.0</v>
      </c>
      <c r="AC98" s="89">
        <v>0.0</v>
      </c>
      <c r="AD98" s="89">
        <v>0.0</v>
      </c>
      <c r="AE98" s="89">
        <v>0.0</v>
      </c>
      <c r="AF98" s="89">
        <v>0.0</v>
      </c>
      <c r="AG98" s="89">
        <v>0.0</v>
      </c>
      <c r="AH98" s="89">
        <v>0.0</v>
      </c>
      <c r="AI98" s="89">
        <v>0.0</v>
      </c>
      <c r="AJ98" s="89">
        <v>0.0</v>
      </c>
      <c r="AK98" s="90">
        <v>0.0</v>
      </c>
      <c r="AL98" s="85"/>
      <c r="AM98" s="85">
        <f t="shared" si="1"/>
        <v>0</v>
      </c>
      <c r="AN98" s="86" t="str">
        <f t="shared" si="2"/>
        <v/>
      </c>
      <c r="AO98" s="13"/>
    </row>
    <row r="99" ht="30.0" hidden="1" customHeight="1">
      <c r="A99" s="4" t="str">
        <f>IFERROR(VLOOKUP(C99,'Product List'!$A$2:$C198,2,FALSE),"")</f>
        <v/>
      </c>
      <c r="B99" s="5" t="str">
        <f>IFERROR(VLOOKUP(C99,'Product List'!$A$2:$C198,3,FALSE),"")</f>
        <v/>
      </c>
      <c r="C99" s="6"/>
      <c r="D99" s="5"/>
      <c r="E99" s="76">
        <f>IFERROR(__xludf.DUMMYFUNCTION("+E98+1"),84.0)</f>
        <v>84</v>
      </c>
      <c r="F99" s="77"/>
      <c r="G99" s="78">
        <v>0.0</v>
      </c>
      <c r="H99" s="78">
        <v>0.0</v>
      </c>
      <c r="I99" s="78">
        <f>IFERROR(__xludf.DUMMYFUNCTION("+G99-H99"),0.0)</f>
        <v>0</v>
      </c>
      <c r="J99" s="78">
        <v>0.0</v>
      </c>
      <c r="K99" s="78">
        <f>IFERROR(__xludf.DUMMYFUNCTION("+I99+J99"),0.0)</f>
        <v>0</v>
      </c>
      <c r="L99" s="79">
        <f>IFERROR(__xludf.DUMMYFUNCTION("+K99/$K$190"),0.0)</f>
        <v>0</v>
      </c>
      <c r="M99" s="78">
        <f>IFERROR(__xludf.DUMMYFUNCTION("+K99/$T$9"),0.0)</f>
        <v>0</v>
      </c>
      <c r="N99" s="80">
        <f>IFERROR(__xludf.DUMMYFUNCTION("+K99-SUM(O99:AL99)"),0.0)</f>
        <v>0</v>
      </c>
      <c r="O99" s="81">
        <v>0.0</v>
      </c>
      <c r="P99" s="89">
        <v>0.0</v>
      </c>
      <c r="Q99" s="89">
        <v>0.0</v>
      </c>
      <c r="R99" s="89">
        <v>0.0</v>
      </c>
      <c r="S99" s="89">
        <v>0.0</v>
      </c>
      <c r="T99" s="89">
        <v>0.0</v>
      </c>
      <c r="U99" s="89">
        <v>0.0</v>
      </c>
      <c r="V99" s="89">
        <v>0.0</v>
      </c>
      <c r="W99" s="89">
        <v>0.0</v>
      </c>
      <c r="X99" s="89">
        <v>0.0</v>
      </c>
      <c r="Y99" s="89">
        <v>0.0</v>
      </c>
      <c r="Z99" s="89">
        <v>0.0</v>
      </c>
      <c r="AA99" s="89">
        <v>0.0</v>
      </c>
      <c r="AB99" s="89">
        <v>0.0</v>
      </c>
      <c r="AC99" s="89">
        <v>0.0</v>
      </c>
      <c r="AD99" s="89">
        <v>0.0</v>
      </c>
      <c r="AE99" s="89">
        <v>0.0</v>
      </c>
      <c r="AF99" s="89">
        <v>0.0</v>
      </c>
      <c r="AG99" s="89">
        <v>0.0</v>
      </c>
      <c r="AH99" s="89">
        <v>0.0</v>
      </c>
      <c r="AI99" s="89">
        <v>0.0</v>
      </c>
      <c r="AJ99" s="89">
        <v>0.0</v>
      </c>
      <c r="AK99" s="90">
        <v>0.0</v>
      </c>
      <c r="AL99" s="85"/>
      <c r="AM99" s="85">
        <f t="shared" si="1"/>
        <v>0</v>
      </c>
      <c r="AN99" s="86" t="str">
        <f t="shared" si="2"/>
        <v/>
      </c>
      <c r="AO99" s="13"/>
    </row>
    <row r="100" ht="30.0" hidden="1" customHeight="1">
      <c r="A100" s="4" t="str">
        <f>IFERROR(VLOOKUP(C100,'Product List'!$A$2:$C198,2,FALSE),"")</f>
        <v/>
      </c>
      <c r="B100" s="5" t="str">
        <f>IFERROR(VLOOKUP(C100,'Product List'!$A$2:$C198,3,FALSE),"")</f>
        <v/>
      </c>
      <c r="C100" s="6"/>
      <c r="D100" s="5"/>
      <c r="E100" s="76">
        <f>IFERROR(__xludf.DUMMYFUNCTION("+E99+1"),85.0)</f>
        <v>85</v>
      </c>
      <c r="F100" s="77"/>
      <c r="G100" s="78">
        <v>0.0</v>
      </c>
      <c r="H100" s="78">
        <v>0.0</v>
      </c>
      <c r="I100" s="78">
        <f>IFERROR(__xludf.DUMMYFUNCTION("+G100-H100"),0.0)</f>
        <v>0</v>
      </c>
      <c r="J100" s="78">
        <v>0.0</v>
      </c>
      <c r="K100" s="78">
        <f>IFERROR(__xludf.DUMMYFUNCTION("+I100+J100"),0.0)</f>
        <v>0</v>
      </c>
      <c r="L100" s="79">
        <f>IFERROR(__xludf.DUMMYFUNCTION("+K100/$K$190"),0.0)</f>
        <v>0</v>
      </c>
      <c r="M100" s="78">
        <f>IFERROR(__xludf.DUMMYFUNCTION("+K100/$T$9"),0.0)</f>
        <v>0</v>
      </c>
      <c r="N100" s="80">
        <f>IFERROR(__xludf.DUMMYFUNCTION("+K100-SUM(O100:AL100)"),0.0)</f>
        <v>0</v>
      </c>
      <c r="O100" s="81">
        <v>0.0</v>
      </c>
      <c r="P100" s="89">
        <v>0.0</v>
      </c>
      <c r="Q100" s="89">
        <v>0.0</v>
      </c>
      <c r="R100" s="89">
        <v>0.0</v>
      </c>
      <c r="S100" s="89">
        <v>0.0</v>
      </c>
      <c r="T100" s="89">
        <v>0.0</v>
      </c>
      <c r="U100" s="89">
        <v>0.0</v>
      </c>
      <c r="V100" s="89">
        <v>0.0</v>
      </c>
      <c r="W100" s="89">
        <v>0.0</v>
      </c>
      <c r="X100" s="89">
        <v>0.0</v>
      </c>
      <c r="Y100" s="89">
        <v>0.0</v>
      </c>
      <c r="Z100" s="89">
        <v>0.0</v>
      </c>
      <c r="AA100" s="89">
        <v>0.0</v>
      </c>
      <c r="AB100" s="89">
        <v>0.0</v>
      </c>
      <c r="AC100" s="89">
        <v>0.0</v>
      </c>
      <c r="AD100" s="89">
        <v>0.0</v>
      </c>
      <c r="AE100" s="89">
        <v>0.0</v>
      </c>
      <c r="AF100" s="89">
        <v>0.0</v>
      </c>
      <c r="AG100" s="89">
        <v>0.0</v>
      </c>
      <c r="AH100" s="89">
        <v>0.0</v>
      </c>
      <c r="AI100" s="89">
        <v>0.0</v>
      </c>
      <c r="AJ100" s="89">
        <v>0.0</v>
      </c>
      <c r="AK100" s="90">
        <v>0.0</v>
      </c>
      <c r="AL100" s="85"/>
      <c r="AM100" s="85">
        <f t="shared" si="1"/>
        <v>0</v>
      </c>
      <c r="AN100" s="86" t="str">
        <f t="shared" si="2"/>
        <v/>
      </c>
      <c r="AO100" s="13"/>
    </row>
    <row r="101" ht="30.0" hidden="1" customHeight="1">
      <c r="A101" s="4" t="str">
        <f>IFERROR(VLOOKUP(C101,'Product List'!$A$2:$C198,2,FALSE),"")</f>
        <v/>
      </c>
      <c r="B101" s="5" t="str">
        <f>IFERROR(VLOOKUP(C101,'Product List'!$A$2:$C198,3,FALSE),"")</f>
        <v/>
      </c>
      <c r="C101" s="6"/>
      <c r="D101" s="5"/>
      <c r="E101" s="76">
        <f>IFERROR(__xludf.DUMMYFUNCTION("+E100+1"),86.0)</f>
        <v>86</v>
      </c>
      <c r="F101" s="77"/>
      <c r="G101" s="78">
        <v>0.0</v>
      </c>
      <c r="H101" s="78">
        <v>0.0</v>
      </c>
      <c r="I101" s="78">
        <f>IFERROR(__xludf.DUMMYFUNCTION("+G101-H101"),0.0)</f>
        <v>0</v>
      </c>
      <c r="J101" s="78">
        <v>0.0</v>
      </c>
      <c r="K101" s="78">
        <f>IFERROR(__xludf.DUMMYFUNCTION("+I101+J101"),0.0)</f>
        <v>0</v>
      </c>
      <c r="L101" s="79">
        <f>IFERROR(__xludf.DUMMYFUNCTION("+K101/$K$190"),0.0)</f>
        <v>0</v>
      </c>
      <c r="M101" s="78">
        <f>IFERROR(__xludf.DUMMYFUNCTION("+K101/$T$9"),0.0)</f>
        <v>0</v>
      </c>
      <c r="N101" s="80">
        <f>IFERROR(__xludf.DUMMYFUNCTION("+K101-SUM(O101:AL101)"),0.0)</f>
        <v>0</v>
      </c>
      <c r="O101" s="81">
        <v>0.0</v>
      </c>
      <c r="P101" s="89">
        <v>0.0</v>
      </c>
      <c r="Q101" s="89">
        <v>0.0</v>
      </c>
      <c r="R101" s="89">
        <v>0.0</v>
      </c>
      <c r="S101" s="89">
        <v>0.0</v>
      </c>
      <c r="T101" s="89">
        <v>0.0</v>
      </c>
      <c r="U101" s="89">
        <v>0.0</v>
      </c>
      <c r="V101" s="89">
        <v>0.0</v>
      </c>
      <c r="W101" s="89">
        <v>0.0</v>
      </c>
      <c r="X101" s="89">
        <v>0.0</v>
      </c>
      <c r="Y101" s="89">
        <v>0.0</v>
      </c>
      <c r="Z101" s="89">
        <v>0.0</v>
      </c>
      <c r="AA101" s="89">
        <v>0.0</v>
      </c>
      <c r="AB101" s="89">
        <v>0.0</v>
      </c>
      <c r="AC101" s="89">
        <v>0.0</v>
      </c>
      <c r="AD101" s="89">
        <v>0.0</v>
      </c>
      <c r="AE101" s="89">
        <v>0.0</v>
      </c>
      <c r="AF101" s="89">
        <v>0.0</v>
      </c>
      <c r="AG101" s="89">
        <v>0.0</v>
      </c>
      <c r="AH101" s="89">
        <v>0.0</v>
      </c>
      <c r="AI101" s="89">
        <v>0.0</v>
      </c>
      <c r="AJ101" s="89">
        <v>0.0</v>
      </c>
      <c r="AK101" s="90">
        <v>0.0</v>
      </c>
      <c r="AL101" s="85"/>
      <c r="AM101" s="85">
        <f t="shared" si="1"/>
        <v>0</v>
      </c>
      <c r="AN101" s="86" t="str">
        <f t="shared" si="2"/>
        <v/>
      </c>
      <c r="AO101" s="13"/>
    </row>
    <row r="102" ht="30.0" hidden="1" customHeight="1">
      <c r="A102" s="4" t="str">
        <f>IFERROR(VLOOKUP(C102,'Product List'!$A$2:$C198,2,FALSE),"")</f>
        <v/>
      </c>
      <c r="B102" s="5" t="str">
        <f>IFERROR(VLOOKUP(C102,'Product List'!$A$2:$C198,3,FALSE),"")</f>
        <v/>
      </c>
      <c r="C102" s="6"/>
      <c r="D102" s="5"/>
      <c r="E102" s="76">
        <f>IFERROR(__xludf.DUMMYFUNCTION("+E101+1"),87.0)</f>
        <v>87</v>
      </c>
      <c r="F102" s="77"/>
      <c r="G102" s="78">
        <v>0.0</v>
      </c>
      <c r="H102" s="78">
        <v>0.0</v>
      </c>
      <c r="I102" s="78">
        <f>IFERROR(__xludf.DUMMYFUNCTION("+G102-H102"),0.0)</f>
        <v>0</v>
      </c>
      <c r="J102" s="78">
        <v>0.0</v>
      </c>
      <c r="K102" s="78">
        <f>IFERROR(__xludf.DUMMYFUNCTION("+I102+J102"),0.0)</f>
        <v>0</v>
      </c>
      <c r="L102" s="79">
        <f>IFERROR(__xludf.DUMMYFUNCTION("+K102/$K$190"),0.0)</f>
        <v>0</v>
      </c>
      <c r="M102" s="78">
        <f>IFERROR(__xludf.DUMMYFUNCTION("+K102/$T$9"),0.0)</f>
        <v>0</v>
      </c>
      <c r="N102" s="80">
        <f>IFERROR(__xludf.DUMMYFUNCTION("+K102-SUM(O102:AL102)"),0.0)</f>
        <v>0</v>
      </c>
      <c r="O102" s="81">
        <v>0.0</v>
      </c>
      <c r="P102" s="89">
        <v>0.0</v>
      </c>
      <c r="Q102" s="89">
        <v>0.0</v>
      </c>
      <c r="R102" s="89">
        <v>0.0</v>
      </c>
      <c r="S102" s="89">
        <v>0.0</v>
      </c>
      <c r="T102" s="89">
        <v>0.0</v>
      </c>
      <c r="U102" s="89">
        <v>0.0</v>
      </c>
      <c r="V102" s="89">
        <v>0.0</v>
      </c>
      <c r="W102" s="89">
        <v>0.0</v>
      </c>
      <c r="X102" s="89">
        <v>0.0</v>
      </c>
      <c r="Y102" s="89">
        <v>0.0</v>
      </c>
      <c r="Z102" s="89">
        <v>0.0</v>
      </c>
      <c r="AA102" s="89">
        <v>0.0</v>
      </c>
      <c r="AB102" s="89">
        <v>0.0</v>
      </c>
      <c r="AC102" s="89">
        <v>0.0</v>
      </c>
      <c r="AD102" s="89">
        <v>0.0</v>
      </c>
      <c r="AE102" s="89">
        <v>0.0</v>
      </c>
      <c r="AF102" s="89">
        <v>0.0</v>
      </c>
      <c r="AG102" s="89">
        <v>0.0</v>
      </c>
      <c r="AH102" s="89">
        <v>0.0</v>
      </c>
      <c r="AI102" s="89">
        <v>0.0</v>
      </c>
      <c r="AJ102" s="89">
        <v>0.0</v>
      </c>
      <c r="AK102" s="90">
        <v>0.0</v>
      </c>
      <c r="AL102" s="85"/>
      <c r="AM102" s="85">
        <f t="shared" si="1"/>
        <v>0</v>
      </c>
      <c r="AN102" s="86" t="str">
        <f t="shared" si="2"/>
        <v/>
      </c>
      <c r="AO102" s="13"/>
    </row>
    <row r="103" ht="30.0" hidden="1" customHeight="1">
      <c r="A103" s="4" t="str">
        <f>IFERROR(VLOOKUP(C103,'Product List'!$A$2:$C198,2,FALSE),"")</f>
        <v/>
      </c>
      <c r="B103" s="5" t="str">
        <f>IFERROR(VLOOKUP(C103,'Product List'!$A$2:$C198,3,FALSE),"")</f>
        <v/>
      </c>
      <c r="C103" s="6"/>
      <c r="D103" s="5"/>
      <c r="E103" s="76">
        <f>IFERROR(__xludf.DUMMYFUNCTION("+E102+1"),88.0)</f>
        <v>88</v>
      </c>
      <c r="F103" s="77"/>
      <c r="G103" s="78">
        <v>0.0</v>
      </c>
      <c r="H103" s="78">
        <v>0.0</v>
      </c>
      <c r="I103" s="78">
        <f>IFERROR(__xludf.DUMMYFUNCTION("+G103-H103"),0.0)</f>
        <v>0</v>
      </c>
      <c r="J103" s="78">
        <v>0.0</v>
      </c>
      <c r="K103" s="78">
        <f>IFERROR(__xludf.DUMMYFUNCTION("+I103+J103"),0.0)</f>
        <v>0</v>
      </c>
      <c r="L103" s="79">
        <f>IFERROR(__xludf.DUMMYFUNCTION("+K103/$K$190"),0.0)</f>
        <v>0</v>
      </c>
      <c r="M103" s="78">
        <f>IFERROR(__xludf.DUMMYFUNCTION("+K103/$T$9"),0.0)</f>
        <v>0</v>
      </c>
      <c r="N103" s="80">
        <f>IFERROR(__xludf.DUMMYFUNCTION("+K103-SUM(O103:AL103)"),0.0)</f>
        <v>0</v>
      </c>
      <c r="O103" s="81">
        <v>0.0</v>
      </c>
      <c r="P103" s="89">
        <v>0.0</v>
      </c>
      <c r="Q103" s="89">
        <v>0.0</v>
      </c>
      <c r="R103" s="89">
        <v>0.0</v>
      </c>
      <c r="S103" s="89">
        <v>0.0</v>
      </c>
      <c r="T103" s="89">
        <v>0.0</v>
      </c>
      <c r="U103" s="89">
        <v>0.0</v>
      </c>
      <c r="V103" s="89">
        <v>0.0</v>
      </c>
      <c r="W103" s="89">
        <v>0.0</v>
      </c>
      <c r="X103" s="89">
        <v>0.0</v>
      </c>
      <c r="Y103" s="89">
        <v>0.0</v>
      </c>
      <c r="Z103" s="89">
        <v>0.0</v>
      </c>
      <c r="AA103" s="89">
        <v>0.0</v>
      </c>
      <c r="AB103" s="89">
        <v>0.0</v>
      </c>
      <c r="AC103" s="89">
        <v>0.0</v>
      </c>
      <c r="AD103" s="89">
        <v>0.0</v>
      </c>
      <c r="AE103" s="89">
        <v>0.0</v>
      </c>
      <c r="AF103" s="89">
        <v>0.0</v>
      </c>
      <c r="AG103" s="89">
        <v>0.0</v>
      </c>
      <c r="AH103" s="89">
        <v>0.0</v>
      </c>
      <c r="AI103" s="89">
        <v>0.0</v>
      </c>
      <c r="AJ103" s="89">
        <v>0.0</v>
      </c>
      <c r="AK103" s="90">
        <v>0.0</v>
      </c>
      <c r="AL103" s="85"/>
      <c r="AM103" s="85">
        <f t="shared" si="1"/>
        <v>0</v>
      </c>
      <c r="AN103" s="86" t="str">
        <f t="shared" si="2"/>
        <v/>
      </c>
      <c r="AO103" s="13"/>
    </row>
    <row r="104" ht="30.0" hidden="1" customHeight="1">
      <c r="A104" s="4" t="str">
        <f>IFERROR(VLOOKUP(C104,'Product List'!$A$2:$C198,2,FALSE),"")</f>
        <v/>
      </c>
      <c r="B104" s="5" t="str">
        <f>IFERROR(VLOOKUP(C104,'Product List'!$A$2:$C198,3,FALSE),"")</f>
        <v/>
      </c>
      <c r="C104" s="6"/>
      <c r="D104" s="5"/>
      <c r="E104" s="76">
        <f>IFERROR(__xludf.DUMMYFUNCTION("+E103+1"),89.0)</f>
        <v>89</v>
      </c>
      <c r="F104" s="77"/>
      <c r="G104" s="78">
        <v>0.0</v>
      </c>
      <c r="H104" s="78">
        <v>0.0</v>
      </c>
      <c r="I104" s="78">
        <f>IFERROR(__xludf.DUMMYFUNCTION("+G104-H104"),0.0)</f>
        <v>0</v>
      </c>
      <c r="J104" s="78">
        <v>0.0</v>
      </c>
      <c r="K104" s="78">
        <f>IFERROR(__xludf.DUMMYFUNCTION("+I104+J104"),0.0)</f>
        <v>0</v>
      </c>
      <c r="L104" s="79">
        <f>IFERROR(__xludf.DUMMYFUNCTION("+K104/$K$190"),0.0)</f>
        <v>0</v>
      </c>
      <c r="M104" s="78">
        <f>IFERROR(__xludf.DUMMYFUNCTION("+K104/$T$9"),0.0)</f>
        <v>0</v>
      </c>
      <c r="N104" s="80">
        <f>IFERROR(__xludf.DUMMYFUNCTION("+K104-SUM(O104:AL104)"),0.0)</f>
        <v>0</v>
      </c>
      <c r="O104" s="81">
        <v>0.0</v>
      </c>
      <c r="P104" s="89">
        <v>0.0</v>
      </c>
      <c r="Q104" s="89">
        <v>0.0</v>
      </c>
      <c r="R104" s="89">
        <v>0.0</v>
      </c>
      <c r="S104" s="89">
        <v>0.0</v>
      </c>
      <c r="T104" s="89">
        <v>0.0</v>
      </c>
      <c r="U104" s="89">
        <v>0.0</v>
      </c>
      <c r="V104" s="89">
        <v>0.0</v>
      </c>
      <c r="W104" s="89">
        <v>0.0</v>
      </c>
      <c r="X104" s="89">
        <v>0.0</v>
      </c>
      <c r="Y104" s="89">
        <v>0.0</v>
      </c>
      <c r="Z104" s="89">
        <v>0.0</v>
      </c>
      <c r="AA104" s="89">
        <v>0.0</v>
      </c>
      <c r="AB104" s="89">
        <v>0.0</v>
      </c>
      <c r="AC104" s="89">
        <v>0.0</v>
      </c>
      <c r="AD104" s="89">
        <v>0.0</v>
      </c>
      <c r="AE104" s="89">
        <v>0.0</v>
      </c>
      <c r="AF104" s="89">
        <v>0.0</v>
      </c>
      <c r="AG104" s="89">
        <v>0.0</v>
      </c>
      <c r="AH104" s="89">
        <v>0.0</v>
      </c>
      <c r="AI104" s="89">
        <v>0.0</v>
      </c>
      <c r="AJ104" s="89">
        <v>0.0</v>
      </c>
      <c r="AK104" s="90">
        <v>0.0</v>
      </c>
      <c r="AL104" s="85"/>
      <c r="AM104" s="85">
        <f t="shared" si="1"/>
        <v>0</v>
      </c>
      <c r="AN104" s="86" t="str">
        <f t="shared" si="2"/>
        <v/>
      </c>
      <c r="AO104" s="13"/>
    </row>
    <row r="105" ht="30.0" hidden="1" customHeight="1">
      <c r="A105" s="4" t="str">
        <f>IFERROR(VLOOKUP(C105,'Product List'!$A$2:$C198,2,FALSE),"")</f>
        <v/>
      </c>
      <c r="B105" s="5" t="str">
        <f>IFERROR(VLOOKUP(C105,'Product List'!$A$2:$C198,3,FALSE),"")</f>
        <v/>
      </c>
      <c r="C105" s="6"/>
      <c r="D105" s="5"/>
      <c r="E105" s="76">
        <f>IFERROR(__xludf.DUMMYFUNCTION("+E104+1"),90.0)</f>
        <v>90</v>
      </c>
      <c r="F105" s="77"/>
      <c r="G105" s="78">
        <v>0.0</v>
      </c>
      <c r="H105" s="78">
        <v>0.0</v>
      </c>
      <c r="I105" s="78">
        <f>IFERROR(__xludf.DUMMYFUNCTION("+G105-H105"),0.0)</f>
        <v>0</v>
      </c>
      <c r="J105" s="78">
        <v>0.0</v>
      </c>
      <c r="K105" s="78">
        <f>IFERROR(__xludf.DUMMYFUNCTION("+I105+J105"),0.0)</f>
        <v>0</v>
      </c>
      <c r="L105" s="79">
        <f>IFERROR(__xludf.DUMMYFUNCTION("+K105/$K$190"),0.0)</f>
        <v>0</v>
      </c>
      <c r="M105" s="78">
        <f>IFERROR(__xludf.DUMMYFUNCTION("+K105/$T$9"),0.0)</f>
        <v>0</v>
      </c>
      <c r="N105" s="80">
        <f>IFERROR(__xludf.DUMMYFUNCTION("+K105-SUM(O105:AL105)"),0.0)</f>
        <v>0</v>
      </c>
      <c r="O105" s="81">
        <v>0.0</v>
      </c>
      <c r="P105" s="89">
        <v>0.0</v>
      </c>
      <c r="Q105" s="89">
        <v>0.0</v>
      </c>
      <c r="R105" s="89">
        <v>0.0</v>
      </c>
      <c r="S105" s="89">
        <v>0.0</v>
      </c>
      <c r="T105" s="89">
        <v>0.0</v>
      </c>
      <c r="U105" s="89">
        <v>0.0</v>
      </c>
      <c r="V105" s="89">
        <v>0.0</v>
      </c>
      <c r="W105" s="89">
        <v>0.0</v>
      </c>
      <c r="X105" s="89">
        <v>0.0</v>
      </c>
      <c r="Y105" s="89">
        <v>0.0</v>
      </c>
      <c r="Z105" s="89">
        <v>0.0</v>
      </c>
      <c r="AA105" s="89">
        <v>0.0</v>
      </c>
      <c r="AB105" s="89">
        <v>0.0</v>
      </c>
      <c r="AC105" s="89">
        <v>0.0</v>
      </c>
      <c r="AD105" s="89">
        <v>0.0</v>
      </c>
      <c r="AE105" s="89">
        <v>0.0</v>
      </c>
      <c r="AF105" s="89">
        <v>0.0</v>
      </c>
      <c r="AG105" s="89">
        <v>0.0</v>
      </c>
      <c r="AH105" s="89">
        <v>0.0</v>
      </c>
      <c r="AI105" s="89">
        <v>0.0</v>
      </c>
      <c r="AJ105" s="89">
        <v>0.0</v>
      </c>
      <c r="AK105" s="90">
        <v>0.0</v>
      </c>
      <c r="AL105" s="85"/>
      <c r="AM105" s="85">
        <f t="shared" si="1"/>
        <v>0</v>
      </c>
      <c r="AN105" s="86" t="str">
        <f t="shared" si="2"/>
        <v/>
      </c>
      <c r="AO105" s="13"/>
    </row>
    <row r="106" ht="30.0" hidden="1" customHeight="1">
      <c r="A106" s="4" t="str">
        <f>IFERROR(VLOOKUP(C106,'Product List'!$A$2:$C198,2,FALSE),"")</f>
        <v/>
      </c>
      <c r="B106" s="5" t="str">
        <f>IFERROR(VLOOKUP(C106,'Product List'!$A$2:$C198,3,FALSE),"")</f>
        <v/>
      </c>
      <c r="C106" s="6"/>
      <c r="D106" s="5"/>
      <c r="E106" s="76">
        <f>IFERROR(__xludf.DUMMYFUNCTION("+E105+1"),91.0)</f>
        <v>91</v>
      </c>
      <c r="F106" s="77"/>
      <c r="G106" s="78">
        <v>0.0</v>
      </c>
      <c r="H106" s="78">
        <v>0.0</v>
      </c>
      <c r="I106" s="78">
        <f>IFERROR(__xludf.DUMMYFUNCTION("+G106-H106"),0.0)</f>
        <v>0</v>
      </c>
      <c r="J106" s="78">
        <v>0.0</v>
      </c>
      <c r="K106" s="78">
        <f>IFERROR(__xludf.DUMMYFUNCTION("+I106+J106"),0.0)</f>
        <v>0</v>
      </c>
      <c r="L106" s="79">
        <f>IFERROR(__xludf.DUMMYFUNCTION("+K106/$K$190"),0.0)</f>
        <v>0</v>
      </c>
      <c r="M106" s="78">
        <f>IFERROR(__xludf.DUMMYFUNCTION("+K106/$T$9"),0.0)</f>
        <v>0</v>
      </c>
      <c r="N106" s="80">
        <f>IFERROR(__xludf.DUMMYFUNCTION("+K106-SUM(O106:AL106)"),0.0)</f>
        <v>0</v>
      </c>
      <c r="O106" s="81">
        <v>0.0</v>
      </c>
      <c r="P106" s="89">
        <v>0.0</v>
      </c>
      <c r="Q106" s="89">
        <v>0.0</v>
      </c>
      <c r="R106" s="89">
        <v>0.0</v>
      </c>
      <c r="S106" s="89">
        <v>0.0</v>
      </c>
      <c r="T106" s="89">
        <v>0.0</v>
      </c>
      <c r="U106" s="89">
        <v>0.0</v>
      </c>
      <c r="V106" s="89">
        <v>0.0</v>
      </c>
      <c r="W106" s="89">
        <v>0.0</v>
      </c>
      <c r="X106" s="89">
        <v>0.0</v>
      </c>
      <c r="Y106" s="89">
        <v>0.0</v>
      </c>
      <c r="Z106" s="89">
        <v>0.0</v>
      </c>
      <c r="AA106" s="89">
        <v>0.0</v>
      </c>
      <c r="AB106" s="89">
        <v>0.0</v>
      </c>
      <c r="AC106" s="89">
        <v>0.0</v>
      </c>
      <c r="AD106" s="89">
        <v>0.0</v>
      </c>
      <c r="AE106" s="89">
        <v>0.0</v>
      </c>
      <c r="AF106" s="89">
        <v>0.0</v>
      </c>
      <c r="AG106" s="89">
        <v>0.0</v>
      </c>
      <c r="AH106" s="89">
        <v>0.0</v>
      </c>
      <c r="AI106" s="89">
        <v>0.0</v>
      </c>
      <c r="AJ106" s="89">
        <v>0.0</v>
      </c>
      <c r="AK106" s="90">
        <v>0.0</v>
      </c>
      <c r="AL106" s="85"/>
      <c r="AM106" s="85">
        <f t="shared" si="1"/>
        <v>0</v>
      </c>
      <c r="AN106" s="86" t="str">
        <f t="shared" si="2"/>
        <v/>
      </c>
      <c r="AO106" s="13"/>
    </row>
    <row r="107" ht="30.0" hidden="1" customHeight="1">
      <c r="A107" s="4" t="str">
        <f>IFERROR(VLOOKUP(C107,'Product List'!$A$2:$C198,2,FALSE),"")</f>
        <v/>
      </c>
      <c r="B107" s="5" t="str">
        <f>IFERROR(VLOOKUP(C107,'Product List'!$A$2:$C198,3,FALSE),"")</f>
        <v/>
      </c>
      <c r="C107" s="6"/>
      <c r="D107" s="5"/>
      <c r="E107" s="76">
        <f>IFERROR(__xludf.DUMMYFUNCTION("+E106+1"),92.0)</f>
        <v>92</v>
      </c>
      <c r="F107" s="77"/>
      <c r="G107" s="78">
        <v>0.0</v>
      </c>
      <c r="H107" s="78">
        <v>0.0</v>
      </c>
      <c r="I107" s="78">
        <f>IFERROR(__xludf.DUMMYFUNCTION("+G107-H107"),0.0)</f>
        <v>0</v>
      </c>
      <c r="J107" s="78">
        <v>0.0</v>
      </c>
      <c r="K107" s="78">
        <f>IFERROR(__xludf.DUMMYFUNCTION("+I107+J107"),0.0)</f>
        <v>0</v>
      </c>
      <c r="L107" s="79">
        <f>IFERROR(__xludf.DUMMYFUNCTION("+K107/$K$190"),0.0)</f>
        <v>0</v>
      </c>
      <c r="M107" s="78">
        <f>IFERROR(__xludf.DUMMYFUNCTION("+K107/$T$9"),0.0)</f>
        <v>0</v>
      </c>
      <c r="N107" s="80">
        <f>IFERROR(__xludf.DUMMYFUNCTION("+K107-SUM(O107:AL107)"),0.0)</f>
        <v>0</v>
      </c>
      <c r="O107" s="81">
        <v>0.0</v>
      </c>
      <c r="P107" s="89">
        <v>0.0</v>
      </c>
      <c r="Q107" s="89">
        <v>0.0</v>
      </c>
      <c r="R107" s="89">
        <v>0.0</v>
      </c>
      <c r="S107" s="89">
        <v>0.0</v>
      </c>
      <c r="T107" s="89">
        <v>0.0</v>
      </c>
      <c r="U107" s="89">
        <v>0.0</v>
      </c>
      <c r="V107" s="89">
        <v>0.0</v>
      </c>
      <c r="W107" s="89">
        <v>0.0</v>
      </c>
      <c r="X107" s="89">
        <v>0.0</v>
      </c>
      <c r="Y107" s="89">
        <v>0.0</v>
      </c>
      <c r="Z107" s="89">
        <v>0.0</v>
      </c>
      <c r="AA107" s="89">
        <v>0.0</v>
      </c>
      <c r="AB107" s="89">
        <v>0.0</v>
      </c>
      <c r="AC107" s="89">
        <v>0.0</v>
      </c>
      <c r="AD107" s="89">
        <v>0.0</v>
      </c>
      <c r="AE107" s="89">
        <v>0.0</v>
      </c>
      <c r="AF107" s="89">
        <v>0.0</v>
      </c>
      <c r="AG107" s="89">
        <v>0.0</v>
      </c>
      <c r="AH107" s="89">
        <v>0.0</v>
      </c>
      <c r="AI107" s="89">
        <v>0.0</v>
      </c>
      <c r="AJ107" s="89">
        <v>0.0</v>
      </c>
      <c r="AK107" s="90">
        <v>0.0</v>
      </c>
      <c r="AL107" s="85"/>
      <c r="AM107" s="85">
        <f t="shared" si="1"/>
        <v>0</v>
      </c>
      <c r="AN107" s="86" t="str">
        <f t="shared" si="2"/>
        <v/>
      </c>
      <c r="AO107" s="13"/>
    </row>
    <row r="108" ht="30.0" hidden="1" customHeight="1">
      <c r="A108" s="4" t="str">
        <f>IFERROR(VLOOKUP(C108,'Product List'!$A$2:$C198,2,FALSE),"")</f>
        <v/>
      </c>
      <c r="B108" s="5" t="str">
        <f>IFERROR(VLOOKUP(C108,'Product List'!$A$2:$C198,3,FALSE),"")</f>
        <v/>
      </c>
      <c r="C108" s="6"/>
      <c r="D108" s="5"/>
      <c r="E108" s="76">
        <f>IFERROR(__xludf.DUMMYFUNCTION("+E107+1"),93.0)</f>
        <v>93</v>
      </c>
      <c r="F108" s="77"/>
      <c r="G108" s="78">
        <v>0.0</v>
      </c>
      <c r="H108" s="78">
        <v>0.0</v>
      </c>
      <c r="I108" s="78">
        <f>IFERROR(__xludf.DUMMYFUNCTION("+G108-H108"),0.0)</f>
        <v>0</v>
      </c>
      <c r="J108" s="78">
        <v>0.0</v>
      </c>
      <c r="K108" s="78">
        <f>IFERROR(__xludf.DUMMYFUNCTION("+I108+J108"),0.0)</f>
        <v>0</v>
      </c>
      <c r="L108" s="79">
        <f>IFERROR(__xludf.DUMMYFUNCTION("+K108/$K$190"),0.0)</f>
        <v>0</v>
      </c>
      <c r="M108" s="78">
        <f>IFERROR(__xludf.DUMMYFUNCTION("+K108/$T$9"),0.0)</f>
        <v>0</v>
      </c>
      <c r="N108" s="80">
        <f>IFERROR(__xludf.DUMMYFUNCTION("+K108-SUM(O108:AL108)"),0.0)</f>
        <v>0</v>
      </c>
      <c r="O108" s="81">
        <v>0.0</v>
      </c>
      <c r="P108" s="89">
        <v>0.0</v>
      </c>
      <c r="Q108" s="89">
        <v>0.0</v>
      </c>
      <c r="R108" s="89">
        <v>0.0</v>
      </c>
      <c r="S108" s="89">
        <v>0.0</v>
      </c>
      <c r="T108" s="89">
        <v>0.0</v>
      </c>
      <c r="U108" s="89">
        <v>0.0</v>
      </c>
      <c r="V108" s="89">
        <v>0.0</v>
      </c>
      <c r="W108" s="89">
        <v>0.0</v>
      </c>
      <c r="X108" s="89">
        <v>0.0</v>
      </c>
      <c r="Y108" s="89">
        <v>0.0</v>
      </c>
      <c r="Z108" s="89">
        <v>0.0</v>
      </c>
      <c r="AA108" s="89">
        <v>0.0</v>
      </c>
      <c r="AB108" s="89">
        <v>0.0</v>
      </c>
      <c r="AC108" s="89">
        <v>0.0</v>
      </c>
      <c r="AD108" s="89">
        <v>0.0</v>
      </c>
      <c r="AE108" s="89">
        <v>0.0</v>
      </c>
      <c r="AF108" s="89">
        <v>0.0</v>
      </c>
      <c r="AG108" s="89">
        <v>0.0</v>
      </c>
      <c r="AH108" s="89">
        <v>0.0</v>
      </c>
      <c r="AI108" s="89">
        <v>0.0</v>
      </c>
      <c r="AJ108" s="89">
        <v>0.0</v>
      </c>
      <c r="AK108" s="90">
        <v>0.0</v>
      </c>
      <c r="AL108" s="85"/>
      <c r="AM108" s="85">
        <f t="shared" si="1"/>
        <v>0</v>
      </c>
      <c r="AN108" s="86" t="str">
        <f t="shared" si="2"/>
        <v/>
      </c>
      <c r="AO108" s="13"/>
    </row>
    <row r="109" ht="30.0" hidden="1" customHeight="1">
      <c r="A109" s="4" t="str">
        <f>IFERROR(VLOOKUP(C109,'Product List'!$A$2:$C198,2,FALSE),"")</f>
        <v/>
      </c>
      <c r="B109" s="5" t="str">
        <f>IFERROR(VLOOKUP(C109,'Product List'!$A$2:$C198,3,FALSE),"")</f>
        <v/>
      </c>
      <c r="C109" s="6"/>
      <c r="D109" s="5"/>
      <c r="E109" s="76">
        <f>IFERROR(__xludf.DUMMYFUNCTION("+E108+1"),94.0)</f>
        <v>94</v>
      </c>
      <c r="F109" s="77"/>
      <c r="G109" s="78">
        <v>0.0</v>
      </c>
      <c r="H109" s="78">
        <v>0.0</v>
      </c>
      <c r="I109" s="78">
        <f>IFERROR(__xludf.DUMMYFUNCTION("+G109-H109"),0.0)</f>
        <v>0</v>
      </c>
      <c r="J109" s="78">
        <v>0.0</v>
      </c>
      <c r="K109" s="78">
        <f>IFERROR(__xludf.DUMMYFUNCTION("+I109+J109"),0.0)</f>
        <v>0</v>
      </c>
      <c r="L109" s="79">
        <f>IFERROR(__xludf.DUMMYFUNCTION("+K109/$K$190"),0.0)</f>
        <v>0</v>
      </c>
      <c r="M109" s="78">
        <f>IFERROR(__xludf.DUMMYFUNCTION("+K109/$T$9"),0.0)</f>
        <v>0</v>
      </c>
      <c r="N109" s="80">
        <f>IFERROR(__xludf.DUMMYFUNCTION("+K109-SUM(O109:AL109)"),0.0)</f>
        <v>0</v>
      </c>
      <c r="O109" s="81">
        <v>0.0</v>
      </c>
      <c r="P109" s="89">
        <v>0.0</v>
      </c>
      <c r="Q109" s="89">
        <v>0.0</v>
      </c>
      <c r="R109" s="89">
        <v>0.0</v>
      </c>
      <c r="S109" s="89">
        <v>0.0</v>
      </c>
      <c r="T109" s="89">
        <v>0.0</v>
      </c>
      <c r="U109" s="89">
        <v>0.0</v>
      </c>
      <c r="V109" s="89">
        <v>0.0</v>
      </c>
      <c r="W109" s="89">
        <v>0.0</v>
      </c>
      <c r="X109" s="89">
        <v>0.0</v>
      </c>
      <c r="Y109" s="89">
        <v>0.0</v>
      </c>
      <c r="Z109" s="89">
        <v>0.0</v>
      </c>
      <c r="AA109" s="89">
        <v>0.0</v>
      </c>
      <c r="AB109" s="89">
        <v>0.0</v>
      </c>
      <c r="AC109" s="89">
        <v>0.0</v>
      </c>
      <c r="AD109" s="89">
        <v>0.0</v>
      </c>
      <c r="AE109" s="89">
        <v>0.0</v>
      </c>
      <c r="AF109" s="89">
        <v>0.0</v>
      </c>
      <c r="AG109" s="89">
        <v>0.0</v>
      </c>
      <c r="AH109" s="89">
        <v>0.0</v>
      </c>
      <c r="AI109" s="89">
        <v>0.0</v>
      </c>
      <c r="AJ109" s="89">
        <v>0.0</v>
      </c>
      <c r="AK109" s="90">
        <v>0.0</v>
      </c>
      <c r="AL109" s="85"/>
      <c r="AM109" s="85">
        <f t="shared" si="1"/>
        <v>0</v>
      </c>
      <c r="AN109" s="86" t="str">
        <f t="shared" si="2"/>
        <v/>
      </c>
      <c r="AO109" s="13"/>
    </row>
    <row r="110" ht="30.0" hidden="1" customHeight="1">
      <c r="A110" s="4" t="str">
        <f>IFERROR(VLOOKUP(C110,'Product List'!$A$2:$C198,2,FALSE),"")</f>
        <v/>
      </c>
      <c r="B110" s="5" t="str">
        <f>IFERROR(VLOOKUP(C110,'Product List'!$A$2:$C198,3,FALSE),"")</f>
        <v/>
      </c>
      <c r="C110" s="6"/>
      <c r="D110" s="5"/>
      <c r="E110" s="76">
        <f>IFERROR(__xludf.DUMMYFUNCTION("+E109+1"),95.0)</f>
        <v>95</v>
      </c>
      <c r="F110" s="77"/>
      <c r="G110" s="78">
        <v>0.0</v>
      </c>
      <c r="H110" s="78">
        <v>0.0</v>
      </c>
      <c r="I110" s="78">
        <f>IFERROR(__xludf.DUMMYFUNCTION("+G110-H110"),0.0)</f>
        <v>0</v>
      </c>
      <c r="J110" s="78">
        <v>0.0</v>
      </c>
      <c r="K110" s="78">
        <f>IFERROR(__xludf.DUMMYFUNCTION("+I110+J110"),0.0)</f>
        <v>0</v>
      </c>
      <c r="L110" s="79">
        <f>IFERROR(__xludf.DUMMYFUNCTION("+K110/$K$190"),0.0)</f>
        <v>0</v>
      </c>
      <c r="M110" s="78">
        <f>IFERROR(__xludf.DUMMYFUNCTION("+K110/$T$9"),0.0)</f>
        <v>0</v>
      </c>
      <c r="N110" s="80">
        <f>IFERROR(__xludf.DUMMYFUNCTION("+K110-SUM(O110:AL110)"),0.0)</f>
        <v>0</v>
      </c>
      <c r="O110" s="81">
        <v>0.0</v>
      </c>
      <c r="P110" s="89">
        <v>0.0</v>
      </c>
      <c r="Q110" s="89">
        <v>0.0</v>
      </c>
      <c r="R110" s="89">
        <v>0.0</v>
      </c>
      <c r="S110" s="89">
        <v>0.0</v>
      </c>
      <c r="T110" s="89">
        <v>0.0</v>
      </c>
      <c r="U110" s="89">
        <v>0.0</v>
      </c>
      <c r="V110" s="89">
        <v>0.0</v>
      </c>
      <c r="W110" s="89">
        <v>0.0</v>
      </c>
      <c r="X110" s="89">
        <v>0.0</v>
      </c>
      <c r="Y110" s="89">
        <v>0.0</v>
      </c>
      <c r="Z110" s="89">
        <v>0.0</v>
      </c>
      <c r="AA110" s="89">
        <v>0.0</v>
      </c>
      <c r="AB110" s="89">
        <v>0.0</v>
      </c>
      <c r="AC110" s="89">
        <v>0.0</v>
      </c>
      <c r="AD110" s="89">
        <v>0.0</v>
      </c>
      <c r="AE110" s="89">
        <v>0.0</v>
      </c>
      <c r="AF110" s="89">
        <v>0.0</v>
      </c>
      <c r="AG110" s="89">
        <v>0.0</v>
      </c>
      <c r="AH110" s="89">
        <v>0.0</v>
      </c>
      <c r="AI110" s="89">
        <v>0.0</v>
      </c>
      <c r="AJ110" s="89">
        <v>0.0</v>
      </c>
      <c r="AK110" s="90">
        <v>0.0</v>
      </c>
      <c r="AL110" s="85"/>
      <c r="AM110" s="85">
        <f t="shared" si="1"/>
        <v>0</v>
      </c>
      <c r="AN110" s="86" t="str">
        <f t="shared" si="2"/>
        <v/>
      </c>
      <c r="AO110" s="13"/>
    </row>
    <row r="111" ht="30.0" hidden="1" customHeight="1">
      <c r="A111" s="4" t="str">
        <f>IFERROR(VLOOKUP(C111,'Product List'!$A$2:$C198,2,FALSE),"")</f>
        <v/>
      </c>
      <c r="B111" s="5" t="str">
        <f>IFERROR(VLOOKUP(C111,'Product List'!$A$2:$C198,3,FALSE),"")</f>
        <v/>
      </c>
      <c r="C111" s="6"/>
      <c r="D111" s="5"/>
      <c r="E111" s="76">
        <f>IFERROR(__xludf.DUMMYFUNCTION("+E110+1"),96.0)</f>
        <v>96</v>
      </c>
      <c r="F111" s="77"/>
      <c r="G111" s="78">
        <v>0.0</v>
      </c>
      <c r="H111" s="78">
        <v>0.0</v>
      </c>
      <c r="I111" s="78">
        <f>IFERROR(__xludf.DUMMYFUNCTION("+G111-H111"),0.0)</f>
        <v>0</v>
      </c>
      <c r="J111" s="78">
        <v>0.0</v>
      </c>
      <c r="K111" s="78">
        <f>IFERROR(__xludf.DUMMYFUNCTION("+I111+J111"),0.0)</f>
        <v>0</v>
      </c>
      <c r="L111" s="79">
        <f>IFERROR(__xludf.DUMMYFUNCTION("+K111/$K$190"),0.0)</f>
        <v>0</v>
      </c>
      <c r="M111" s="78">
        <f>IFERROR(__xludf.DUMMYFUNCTION("+K111/$T$9"),0.0)</f>
        <v>0</v>
      </c>
      <c r="N111" s="80">
        <f>IFERROR(__xludf.DUMMYFUNCTION("+K111-SUM(O111:AL111)"),0.0)</f>
        <v>0</v>
      </c>
      <c r="O111" s="81">
        <v>0.0</v>
      </c>
      <c r="P111" s="89">
        <v>0.0</v>
      </c>
      <c r="Q111" s="89">
        <v>0.0</v>
      </c>
      <c r="R111" s="89">
        <v>0.0</v>
      </c>
      <c r="S111" s="89">
        <v>0.0</v>
      </c>
      <c r="T111" s="89">
        <v>0.0</v>
      </c>
      <c r="U111" s="89">
        <v>0.0</v>
      </c>
      <c r="V111" s="89">
        <v>0.0</v>
      </c>
      <c r="W111" s="89">
        <v>0.0</v>
      </c>
      <c r="X111" s="89">
        <v>0.0</v>
      </c>
      <c r="Y111" s="89">
        <v>0.0</v>
      </c>
      <c r="Z111" s="89">
        <v>0.0</v>
      </c>
      <c r="AA111" s="89">
        <v>0.0</v>
      </c>
      <c r="AB111" s="89">
        <v>0.0</v>
      </c>
      <c r="AC111" s="89">
        <v>0.0</v>
      </c>
      <c r="AD111" s="89">
        <v>0.0</v>
      </c>
      <c r="AE111" s="89">
        <v>0.0</v>
      </c>
      <c r="AF111" s="89">
        <v>0.0</v>
      </c>
      <c r="AG111" s="89">
        <v>0.0</v>
      </c>
      <c r="AH111" s="89">
        <v>0.0</v>
      </c>
      <c r="AI111" s="89">
        <v>0.0</v>
      </c>
      <c r="AJ111" s="89">
        <v>0.0</v>
      </c>
      <c r="AK111" s="90">
        <v>0.0</v>
      </c>
      <c r="AL111" s="85"/>
      <c r="AM111" s="85">
        <f t="shared" si="1"/>
        <v>0</v>
      </c>
      <c r="AN111" s="86" t="str">
        <f t="shared" si="2"/>
        <v/>
      </c>
      <c r="AO111" s="13"/>
    </row>
    <row r="112" ht="30.0" hidden="1" customHeight="1">
      <c r="A112" s="4" t="str">
        <f>IFERROR(VLOOKUP(C112,'Product List'!$A$2:$C198,2,FALSE),"")</f>
        <v/>
      </c>
      <c r="B112" s="5" t="str">
        <f>IFERROR(VLOOKUP(C112,'Product List'!$A$2:$C198,3,FALSE),"")</f>
        <v/>
      </c>
      <c r="C112" s="6"/>
      <c r="D112" s="5"/>
      <c r="E112" s="76">
        <f>IFERROR(__xludf.DUMMYFUNCTION("+E111+1"),97.0)</f>
        <v>97</v>
      </c>
      <c r="F112" s="77"/>
      <c r="G112" s="78">
        <v>0.0</v>
      </c>
      <c r="H112" s="78">
        <v>0.0</v>
      </c>
      <c r="I112" s="78">
        <f>IFERROR(__xludf.DUMMYFUNCTION("+G112-H112"),0.0)</f>
        <v>0</v>
      </c>
      <c r="J112" s="78">
        <v>0.0</v>
      </c>
      <c r="K112" s="78">
        <f>IFERROR(__xludf.DUMMYFUNCTION("+I112+J112"),0.0)</f>
        <v>0</v>
      </c>
      <c r="L112" s="79">
        <f>IFERROR(__xludf.DUMMYFUNCTION("+K112/$K$190"),0.0)</f>
        <v>0</v>
      </c>
      <c r="M112" s="78">
        <f>IFERROR(__xludf.DUMMYFUNCTION("+K112/$T$9"),0.0)</f>
        <v>0</v>
      </c>
      <c r="N112" s="80">
        <f>IFERROR(__xludf.DUMMYFUNCTION("+K112-SUM(O112:AL112)"),0.0)</f>
        <v>0</v>
      </c>
      <c r="O112" s="81">
        <v>0.0</v>
      </c>
      <c r="P112" s="89">
        <v>0.0</v>
      </c>
      <c r="Q112" s="89">
        <v>0.0</v>
      </c>
      <c r="R112" s="89">
        <v>0.0</v>
      </c>
      <c r="S112" s="89">
        <v>0.0</v>
      </c>
      <c r="T112" s="89">
        <v>0.0</v>
      </c>
      <c r="U112" s="89">
        <v>0.0</v>
      </c>
      <c r="V112" s="89">
        <v>0.0</v>
      </c>
      <c r="W112" s="89">
        <v>0.0</v>
      </c>
      <c r="X112" s="89">
        <v>0.0</v>
      </c>
      <c r="Y112" s="89">
        <v>0.0</v>
      </c>
      <c r="Z112" s="89">
        <v>0.0</v>
      </c>
      <c r="AA112" s="89">
        <v>0.0</v>
      </c>
      <c r="AB112" s="89">
        <v>0.0</v>
      </c>
      <c r="AC112" s="89">
        <v>0.0</v>
      </c>
      <c r="AD112" s="89">
        <v>0.0</v>
      </c>
      <c r="AE112" s="89">
        <v>0.0</v>
      </c>
      <c r="AF112" s="89">
        <v>0.0</v>
      </c>
      <c r="AG112" s="89">
        <v>0.0</v>
      </c>
      <c r="AH112" s="89">
        <v>0.0</v>
      </c>
      <c r="AI112" s="89">
        <v>0.0</v>
      </c>
      <c r="AJ112" s="89">
        <v>0.0</v>
      </c>
      <c r="AK112" s="90">
        <v>0.0</v>
      </c>
      <c r="AL112" s="85"/>
      <c r="AM112" s="85">
        <f t="shared" si="1"/>
        <v>0</v>
      </c>
      <c r="AN112" s="86" t="str">
        <f t="shared" si="2"/>
        <v/>
      </c>
      <c r="AO112" s="13"/>
    </row>
    <row r="113" ht="30.0" hidden="1" customHeight="1">
      <c r="A113" s="4" t="str">
        <f>IFERROR(VLOOKUP(C113,'Product List'!$A$2:$C198,2,FALSE),"")</f>
        <v/>
      </c>
      <c r="B113" s="5" t="str">
        <f>IFERROR(VLOOKUP(C113,'Product List'!$A$2:$C198,3,FALSE),"")</f>
        <v/>
      </c>
      <c r="C113" s="6"/>
      <c r="D113" s="5"/>
      <c r="E113" s="76">
        <f>IFERROR(__xludf.DUMMYFUNCTION("+E112+1"),98.0)</f>
        <v>98</v>
      </c>
      <c r="F113" s="77"/>
      <c r="G113" s="78">
        <v>0.0</v>
      </c>
      <c r="H113" s="78">
        <v>0.0</v>
      </c>
      <c r="I113" s="78">
        <f>IFERROR(__xludf.DUMMYFUNCTION("+G113-H113"),0.0)</f>
        <v>0</v>
      </c>
      <c r="J113" s="78">
        <v>0.0</v>
      </c>
      <c r="K113" s="78">
        <f>IFERROR(__xludf.DUMMYFUNCTION("+I113+J113"),0.0)</f>
        <v>0</v>
      </c>
      <c r="L113" s="79">
        <f>IFERROR(__xludf.DUMMYFUNCTION("+K113/$K$190"),0.0)</f>
        <v>0</v>
      </c>
      <c r="M113" s="78">
        <f>IFERROR(__xludf.DUMMYFUNCTION("+K113/$T$9"),0.0)</f>
        <v>0</v>
      </c>
      <c r="N113" s="80">
        <f>IFERROR(__xludf.DUMMYFUNCTION("+K113-SUM(O113:AL113)"),0.0)</f>
        <v>0</v>
      </c>
      <c r="O113" s="81">
        <v>0.0</v>
      </c>
      <c r="P113" s="89">
        <v>0.0</v>
      </c>
      <c r="Q113" s="89">
        <v>0.0</v>
      </c>
      <c r="R113" s="89">
        <v>0.0</v>
      </c>
      <c r="S113" s="89">
        <v>0.0</v>
      </c>
      <c r="T113" s="89">
        <v>0.0</v>
      </c>
      <c r="U113" s="89">
        <v>0.0</v>
      </c>
      <c r="V113" s="89">
        <v>0.0</v>
      </c>
      <c r="W113" s="89">
        <v>0.0</v>
      </c>
      <c r="X113" s="89">
        <v>0.0</v>
      </c>
      <c r="Y113" s="89">
        <v>0.0</v>
      </c>
      <c r="Z113" s="89">
        <v>0.0</v>
      </c>
      <c r="AA113" s="89">
        <v>0.0</v>
      </c>
      <c r="AB113" s="89">
        <v>0.0</v>
      </c>
      <c r="AC113" s="89">
        <v>0.0</v>
      </c>
      <c r="AD113" s="89">
        <v>0.0</v>
      </c>
      <c r="AE113" s="89">
        <v>0.0</v>
      </c>
      <c r="AF113" s="89">
        <v>0.0</v>
      </c>
      <c r="AG113" s="89">
        <v>0.0</v>
      </c>
      <c r="AH113" s="89">
        <v>0.0</v>
      </c>
      <c r="AI113" s="89">
        <v>0.0</v>
      </c>
      <c r="AJ113" s="89">
        <v>0.0</v>
      </c>
      <c r="AK113" s="90">
        <v>0.0</v>
      </c>
      <c r="AL113" s="85"/>
      <c r="AM113" s="85">
        <f t="shared" si="1"/>
        <v>0</v>
      </c>
      <c r="AN113" s="86" t="str">
        <f t="shared" si="2"/>
        <v/>
      </c>
      <c r="AO113" s="13"/>
    </row>
    <row r="114" ht="30.0" hidden="1" customHeight="1">
      <c r="A114" s="4" t="str">
        <f>IFERROR(VLOOKUP(C114,'Product List'!$A$2:$C198,2,FALSE),"")</f>
        <v/>
      </c>
      <c r="B114" s="5" t="str">
        <f>IFERROR(VLOOKUP(C114,'Product List'!$A$2:$C198,3,FALSE),"")</f>
        <v/>
      </c>
      <c r="C114" s="6"/>
      <c r="D114" s="5"/>
      <c r="E114" s="76">
        <f>IFERROR(__xludf.DUMMYFUNCTION("+E113+1"),99.0)</f>
        <v>99</v>
      </c>
      <c r="F114" s="77"/>
      <c r="G114" s="78">
        <v>0.0</v>
      </c>
      <c r="H114" s="78">
        <v>0.0</v>
      </c>
      <c r="I114" s="78">
        <f>IFERROR(__xludf.DUMMYFUNCTION("+G114-H114"),0.0)</f>
        <v>0</v>
      </c>
      <c r="J114" s="78">
        <v>0.0</v>
      </c>
      <c r="K114" s="78">
        <f>IFERROR(__xludf.DUMMYFUNCTION("+I114+J114"),0.0)</f>
        <v>0</v>
      </c>
      <c r="L114" s="79">
        <f>IFERROR(__xludf.DUMMYFUNCTION("+K114/$K$190"),0.0)</f>
        <v>0</v>
      </c>
      <c r="M114" s="78">
        <f>IFERROR(__xludf.DUMMYFUNCTION("+K114/$T$9"),0.0)</f>
        <v>0</v>
      </c>
      <c r="N114" s="80">
        <f>IFERROR(__xludf.DUMMYFUNCTION("+K114-SUM(O114:AL114)"),0.0)</f>
        <v>0</v>
      </c>
      <c r="O114" s="81">
        <v>0.0</v>
      </c>
      <c r="P114" s="89">
        <v>0.0</v>
      </c>
      <c r="Q114" s="89">
        <v>0.0</v>
      </c>
      <c r="R114" s="89">
        <v>0.0</v>
      </c>
      <c r="S114" s="89">
        <v>0.0</v>
      </c>
      <c r="T114" s="89">
        <v>0.0</v>
      </c>
      <c r="U114" s="89">
        <v>0.0</v>
      </c>
      <c r="V114" s="89">
        <v>0.0</v>
      </c>
      <c r="W114" s="89">
        <v>0.0</v>
      </c>
      <c r="X114" s="89">
        <v>0.0</v>
      </c>
      <c r="Y114" s="89">
        <v>0.0</v>
      </c>
      <c r="Z114" s="89">
        <v>0.0</v>
      </c>
      <c r="AA114" s="89">
        <v>0.0</v>
      </c>
      <c r="AB114" s="89">
        <v>0.0</v>
      </c>
      <c r="AC114" s="89">
        <v>0.0</v>
      </c>
      <c r="AD114" s="89">
        <v>0.0</v>
      </c>
      <c r="AE114" s="89">
        <v>0.0</v>
      </c>
      <c r="AF114" s="89">
        <v>0.0</v>
      </c>
      <c r="AG114" s="89">
        <v>0.0</v>
      </c>
      <c r="AH114" s="89">
        <v>0.0</v>
      </c>
      <c r="AI114" s="89">
        <v>0.0</v>
      </c>
      <c r="AJ114" s="89">
        <v>0.0</v>
      </c>
      <c r="AK114" s="90">
        <v>0.0</v>
      </c>
      <c r="AL114" s="85"/>
      <c r="AM114" s="85">
        <f t="shared" si="1"/>
        <v>0</v>
      </c>
      <c r="AN114" s="86" t="str">
        <f t="shared" si="2"/>
        <v/>
      </c>
      <c r="AO114" s="13"/>
    </row>
    <row r="115" ht="30.0" hidden="1" customHeight="1">
      <c r="A115" s="4" t="str">
        <f>IFERROR(VLOOKUP(C115,'Product List'!$A$2:$C198,2,FALSE),"")</f>
        <v/>
      </c>
      <c r="B115" s="5" t="str">
        <f>IFERROR(VLOOKUP(C115,'Product List'!$A$2:$C198,3,FALSE),"")</f>
        <v/>
      </c>
      <c r="C115" s="6"/>
      <c r="D115" s="5"/>
      <c r="E115" s="76">
        <f>IFERROR(__xludf.DUMMYFUNCTION("+E114+1"),100.0)</f>
        <v>100</v>
      </c>
      <c r="F115" s="77"/>
      <c r="G115" s="78">
        <v>0.0</v>
      </c>
      <c r="H115" s="78">
        <v>0.0</v>
      </c>
      <c r="I115" s="78">
        <f>IFERROR(__xludf.DUMMYFUNCTION("+G115-H115"),0.0)</f>
        <v>0</v>
      </c>
      <c r="J115" s="78">
        <v>0.0</v>
      </c>
      <c r="K115" s="78">
        <f>IFERROR(__xludf.DUMMYFUNCTION("+I115+J115"),0.0)</f>
        <v>0</v>
      </c>
      <c r="L115" s="79">
        <f>IFERROR(__xludf.DUMMYFUNCTION("+K115/$K$190"),0.0)</f>
        <v>0</v>
      </c>
      <c r="M115" s="78">
        <f>IFERROR(__xludf.DUMMYFUNCTION("+K115/$T$9"),0.0)</f>
        <v>0</v>
      </c>
      <c r="N115" s="80">
        <f>IFERROR(__xludf.DUMMYFUNCTION("+K115-SUM(O115:AL115)"),0.0)</f>
        <v>0</v>
      </c>
      <c r="O115" s="81">
        <v>0.0</v>
      </c>
      <c r="P115" s="89">
        <v>0.0</v>
      </c>
      <c r="Q115" s="89">
        <v>0.0</v>
      </c>
      <c r="R115" s="89">
        <v>0.0</v>
      </c>
      <c r="S115" s="89">
        <v>0.0</v>
      </c>
      <c r="T115" s="89">
        <v>0.0</v>
      </c>
      <c r="U115" s="89">
        <v>0.0</v>
      </c>
      <c r="V115" s="89">
        <v>0.0</v>
      </c>
      <c r="W115" s="89">
        <v>0.0</v>
      </c>
      <c r="X115" s="89">
        <v>0.0</v>
      </c>
      <c r="Y115" s="89">
        <v>0.0</v>
      </c>
      <c r="Z115" s="89">
        <v>0.0</v>
      </c>
      <c r="AA115" s="89">
        <v>0.0</v>
      </c>
      <c r="AB115" s="89">
        <v>0.0</v>
      </c>
      <c r="AC115" s="89">
        <v>0.0</v>
      </c>
      <c r="AD115" s="89">
        <v>0.0</v>
      </c>
      <c r="AE115" s="89">
        <v>0.0</v>
      </c>
      <c r="AF115" s="89">
        <v>0.0</v>
      </c>
      <c r="AG115" s="89">
        <v>0.0</v>
      </c>
      <c r="AH115" s="89">
        <v>0.0</v>
      </c>
      <c r="AI115" s="89">
        <v>0.0</v>
      </c>
      <c r="AJ115" s="89">
        <v>0.0</v>
      </c>
      <c r="AK115" s="90">
        <v>0.0</v>
      </c>
      <c r="AL115" s="85"/>
      <c r="AM115" s="85">
        <f t="shared" si="1"/>
        <v>0</v>
      </c>
      <c r="AN115" s="86" t="str">
        <f t="shared" si="2"/>
        <v/>
      </c>
      <c r="AO115" s="13"/>
    </row>
    <row r="116" ht="30.0" hidden="1" customHeight="1">
      <c r="A116" s="4" t="str">
        <f>IFERROR(VLOOKUP(C116,'Product List'!$A$2:$C198,2,FALSE),"")</f>
        <v/>
      </c>
      <c r="B116" s="5" t="str">
        <f>IFERROR(VLOOKUP(C116,'Product List'!$A$2:$C198,3,FALSE),"")</f>
        <v/>
      </c>
      <c r="C116" s="6"/>
      <c r="D116" s="5"/>
      <c r="E116" s="76">
        <f>IFERROR(__xludf.DUMMYFUNCTION("+E115+1"),101.0)</f>
        <v>101</v>
      </c>
      <c r="F116" s="77"/>
      <c r="G116" s="78">
        <v>0.0</v>
      </c>
      <c r="H116" s="78">
        <v>0.0</v>
      </c>
      <c r="I116" s="78">
        <f>IFERROR(__xludf.DUMMYFUNCTION("+G116-H116"),0.0)</f>
        <v>0</v>
      </c>
      <c r="J116" s="78">
        <v>0.0</v>
      </c>
      <c r="K116" s="78">
        <f>IFERROR(__xludf.DUMMYFUNCTION("+I116+J116"),0.0)</f>
        <v>0</v>
      </c>
      <c r="L116" s="79">
        <f>IFERROR(__xludf.DUMMYFUNCTION("+K116/$K$190"),0.0)</f>
        <v>0</v>
      </c>
      <c r="M116" s="78">
        <f>IFERROR(__xludf.DUMMYFUNCTION("+K116/$T$9"),0.0)</f>
        <v>0</v>
      </c>
      <c r="N116" s="80">
        <f>IFERROR(__xludf.DUMMYFUNCTION("+K116-SUM(O116:AL116)"),0.0)</f>
        <v>0</v>
      </c>
      <c r="O116" s="81">
        <v>0.0</v>
      </c>
      <c r="P116" s="89">
        <v>0.0</v>
      </c>
      <c r="Q116" s="89">
        <v>0.0</v>
      </c>
      <c r="R116" s="89">
        <v>0.0</v>
      </c>
      <c r="S116" s="89">
        <v>0.0</v>
      </c>
      <c r="T116" s="89">
        <v>0.0</v>
      </c>
      <c r="U116" s="89">
        <v>0.0</v>
      </c>
      <c r="V116" s="89">
        <v>0.0</v>
      </c>
      <c r="W116" s="89">
        <v>0.0</v>
      </c>
      <c r="X116" s="89">
        <v>0.0</v>
      </c>
      <c r="Y116" s="89">
        <v>0.0</v>
      </c>
      <c r="Z116" s="89">
        <v>0.0</v>
      </c>
      <c r="AA116" s="89">
        <v>0.0</v>
      </c>
      <c r="AB116" s="89">
        <v>0.0</v>
      </c>
      <c r="AC116" s="89">
        <v>0.0</v>
      </c>
      <c r="AD116" s="89">
        <v>0.0</v>
      </c>
      <c r="AE116" s="89">
        <v>0.0</v>
      </c>
      <c r="AF116" s="89">
        <v>0.0</v>
      </c>
      <c r="AG116" s="89">
        <v>0.0</v>
      </c>
      <c r="AH116" s="89">
        <v>0.0</v>
      </c>
      <c r="AI116" s="89">
        <v>0.0</v>
      </c>
      <c r="AJ116" s="89">
        <v>0.0</v>
      </c>
      <c r="AK116" s="90">
        <v>0.0</v>
      </c>
      <c r="AL116" s="85"/>
      <c r="AM116" s="85">
        <f t="shared" si="1"/>
        <v>0</v>
      </c>
      <c r="AN116" s="86" t="str">
        <f t="shared" si="2"/>
        <v/>
      </c>
      <c r="AO116" s="13"/>
    </row>
    <row r="117" ht="30.0" hidden="1" customHeight="1">
      <c r="A117" s="4" t="str">
        <f>IFERROR(VLOOKUP(C117,'Product List'!$A$2:$C198,2,FALSE),"")</f>
        <v/>
      </c>
      <c r="B117" s="5" t="str">
        <f>IFERROR(VLOOKUP(C117,'Product List'!$A$2:$C198,3,FALSE),"")</f>
        <v/>
      </c>
      <c r="C117" s="6"/>
      <c r="D117" s="5"/>
      <c r="E117" s="76">
        <f>IFERROR(__xludf.DUMMYFUNCTION("+E116+1"),102.0)</f>
        <v>102</v>
      </c>
      <c r="F117" s="77"/>
      <c r="G117" s="78">
        <v>0.0</v>
      </c>
      <c r="H117" s="78">
        <v>0.0</v>
      </c>
      <c r="I117" s="78">
        <f>IFERROR(__xludf.DUMMYFUNCTION("+G117-H117"),0.0)</f>
        <v>0</v>
      </c>
      <c r="J117" s="78">
        <v>0.0</v>
      </c>
      <c r="K117" s="78">
        <f>IFERROR(__xludf.DUMMYFUNCTION("+I117+J117"),0.0)</f>
        <v>0</v>
      </c>
      <c r="L117" s="79">
        <f>IFERROR(__xludf.DUMMYFUNCTION("+K117/$K$190"),0.0)</f>
        <v>0</v>
      </c>
      <c r="M117" s="78">
        <f>IFERROR(__xludf.DUMMYFUNCTION("+K117/$T$9"),0.0)</f>
        <v>0</v>
      </c>
      <c r="N117" s="80">
        <f>IFERROR(__xludf.DUMMYFUNCTION("+K117-SUM(O117:AL117)"),0.0)</f>
        <v>0</v>
      </c>
      <c r="O117" s="81">
        <v>0.0</v>
      </c>
      <c r="P117" s="89">
        <v>0.0</v>
      </c>
      <c r="Q117" s="89">
        <v>0.0</v>
      </c>
      <c r="R117" s="89">
        <v>0.0</v>
      </c>
      <c r="S117" s="89">
        <v>0.0</v>
      </c>
      <c r="T117" s="89">
        <v>0.0</v>
      </c>
      <c r="U117" s="89">
        <v>0.0</v>
      </c>
      <c r="V117" s="89">
        <v>0.0</v>
      </c>
      <c r="W117" s="89">
        <v>0.0</v>
      </c>
      <c r="X117" s="89">
        <v>0.0</v>
      </c>
      <c r="Y117" s="89">
        <v>0.0</v>
      </c>
      <c r="Z117" s="89">
        <v>0.0</v>
      </c>
      <c r="AA117" s="89">
        <v>0.0</v>
      </c>
      <c r="AB117" s="89">
        <v>0.0</v>
      </c>
      <c r="AC117" s="89">
        <v>0.0</v>
      </c>
      <c r="AD117" s="89">
        <v>0.0</v>
      </c>
      <c r="AE117" s="89">
        <v>0.0</v>
      </c>
      <c r="AF117" s="89">
        <v>0.0</v>
      </c>
      <c r="AG117" s="89">
        <v>0.0</v>
      </c>
      <c r="AH117" s="89">
        <v>0.0</v>
      </c>
      <c r="AI117" s="89">
        <v>0.0</v>
      </c>
      <c r="AJ117" s="89">
        <v>0.0</v>
      </c>
      <c r="AK117" s="90">
        <v>0.0</v>
      </c>
      <c r="AL117" s="85"/>
      <c r="AM117" s="85">
        <f t="shared" si="1"/>
        <v>0</v>
      </c>
      <c r="AN117" s="86" t="str">
        <f t="shared" si="2"/>
        <v/>
      </c>
      <c r="AO117" s="13"/>
    </row>
    <row r="118" ht="30.0" hidden="1" customHeight="1">
      <c r="A118" s="4" t="str">
        <f>IFERROR(VLOOKUP(C118,'Product List'!$A$2:$C198,2,FALSE),"")</f>
        <v/>
      </c>
      <c r="B118" s="5" t="str">
        <f>IFERROR(VLOOKUP(C118,'Product List'!$A$2:$C198,3,FALSE),"")</f>
        <v/>
      </c>
      <c r="C118" s="6"/>
      <c r="D118" s="5"/>
      <c r="E118" s="76">
        <f>IFERROR(__xludf.DUMMYFUNCTION("+E117+1"),103.0)</f>
        <v>103</v>
      </c>
      <c r="F118" s="77"/>
      <c r="G118" s="78">
        <v>0.0</v>
      </c>
      <c r="H118" s="78">
        <v>0.0</v>
      </c>
      <c r="I118" s="78">
        <f>IFERROR(__xludf.DUMMYFUNCTION("+G118-H118"),0.0)</f>
        <v>0</v>
      </c>
      <c r="J118" s="78">
        <v>0.0</v>
      </c>
      <c r="K118" s="78">
        <f>IFERROR(__xludf.DUMMYFUNCTION("+I118+J118"),0.0)</f>
        <v>0</v>
      </c>
      <c r="L118" s="79">
        <f>IFERROR(__xludf.DUMMYFUNCTION("+K118/$K$190"),0.0)</f>
        <v>0</v>
      </c>
      <c r="M118" s="78">
        <f>IFERROR(__xludf.DUMMYFUNCTION("+K118/$T$9"),0.0)</f>
        <v>0</v>
      </c>
      <c r="N118" s="80">
        <f>IFERROR(__xludf.DUMMYFUNCTION("+K118-SUM(O118:AL118)"),0.0)</f>
        <v>0</v>
      </c>
      <c r="O118" s="81">
        <v>0.0</v>
      </c>
      <c r="P118" s="89">
        <v>0.0</v>
      </c>
      <c r="Q118" s="89">
        <v>0.0</v>
      </c>
      <c r="R118" s="89">
        <v>0.0</v>
      </c>
      <c r="S118" s="89">
        <v>0.0</v>
      </c>
      <c r="T118" s="89">
        <v>0.0</v>
      </c>
      <c r="U118" s="89">
        <v>0.0</v>
      </c>
      <c r="V118" s="89">
        <v>0.0</v>
      </c>
      <c r="W118" s="89">
        <v>0.0</v>
      </c>
      <c r="X118" s="89">
        <v>0.0</v>
      </c>
      <c r="Y118" s="89">
        <v>0.0</v>
      </c>
      <c r="Z118" s="89">
        <v>0.0</v>
      </c>
      <c r="AA118" s="89">
        <v>0.0</v>
      </c>
      <c r="AB118" s="89">
        <v>0.0</v>
      </c>
      <c r="AC118" s="89">
        <v>0.0</v>
      </c>
      <c r="AD118" s="89">
        <v>0.0</v>
      </c>
      <c r="AE118" s="89">
        <v>0.0</v>
      </c>
      <c r="AF118" s="89">
        <v>0.0</v>
      </c>
      <c r="AG118" s="89">
        <v>0.0</v>
      </c>
      <c r="AH118" s="89">
        <v>0.0</v>
      </c>
      <c r="AI118" s="89">
        <v>0.0</v>
      </c>
      <c r="AJ118" s="89">
        <v>0.0</v>
      </c>
      <c r="AK118" s="90">
        <v>0.0</v>
      </c>
      <c r="AL118" s="85"/>
      <c r="AM118" s="85">
        <f t="shared" si="1"/>
        <v>0</v>
      </c>
      <c r="AN118" s="86" t="str">
        <f t="shared" si="2"/>
        <v/>
      </c>
      <c r="AO118" s="13"/>
    </row>
    <row r="119" ht="30.0" hidden="1" customHeight="1">
      <c r="A119" s="4" t="str">
        <f>IFERROR(VLOOKUP(C119,'Product List'!$A$2:$C198,2,FALSE),"")</f>
        <v/>
      </c>
      <c r="B119" s="5" t="str">
        <f>IFERROR(VLOOKUP(C119,'Product List'!$A$2:$C198,3,FALSE),"")</f>
        <v/>
      </c>
      <c r="C119" s="6"/>
      <c r="D119" s="5"/>
      <c r="E119" s="76">
        <f>IFERROR(__xludf.DUMMYFUNCTION("+E118+1"),104.0)</f>
        <v>104</v>
      </c>
      <c r="F119" s="77"/>
      <c r="G119" s="78">
        <v>0.0</v>
      </c>
      <c r="H119" s="78">
        <v>0.0</v>
      </c>
      <c r="I119" s="78">
        <f>IFERROR(__xludf.DUMMYFUNCTION("+G119-H119"),0.0)</f>
        <v>0</v>
      </c>
      <c r="J119" s="78">
        <v>0.0</v>
      </c>
      <c r="K119" s="78">
        <f>IFERROR(__xludf.DUMMYFUNCTION("+I119+J119"),0.0)</f>
        <v>0</v>
      </c>
      <c r="L119" s="79">
        <f>IFERROR(__xludf.DUMMYFUNCTION("+K119/$K$190"),0.0)</f>
        <v>0</v>
      </c>
      <c r="M119" s="78">
        <f>IFERROR(__xludf.DUMMYFUNCTION("+K119/$T$9"),0.0)</f>
        <v>0</v>
      </c>
      <c r="N119" s="80">
        <f>IFERROR(__xludf.DUMMYFUNCTION("+K119-SUM(O119:AL119)"),0.0)</f>
        <v>0</v>
      </c>
      <c r="O119" s="81">
        <v>0.0</v>
      </c>
      <c r="P119" s="89">
        <v>0.0</v>
      </c>
      <c r="Q119" s="89">
        <v>0.0</v>
      </c>
      <c r="R119" s="89">
        <v>0.0</v>
      </c>
      <c r="S119" s="89">
        <v>0.0</v>
      </c>
      <c r="T119" s="89">
        <v>0.0</v>
      </c>
      <c r="U119" s="89">
        <v>0.0</v>
      </c>
      <c r="V119" s="89">
        <v>0.0</v>
      </c>
      <c r="W119" s="89">
        <v>0.0</v>
      </c>
      <c r="X119" s="89">
        <v>0.0</v>
      </c>
      <c r="Y119" s="89">
        <v>0.0</v>
      </c>
      <c r="Z119" s="89">
        <v>0.0</v>
      </c>
      <c r="AA119" s="89">
        <v>0.0</v>
      </c>
      <c r="AB119" s="89">
        <v>0.0</v>
      </c>
      <c r="AC119" s="89">
        <v>0.0</v>
      </c>
      <c r="AD119" s="89">
        <v>0.0</v>
      </c>
      <c r="AE119" s="89">
        <v>0.0</v>
      </c>
      <c r="AF119" s="89">
        <v>0.0</v>
      </c>
      <c r="AG119" s="89">
        <v>0.0</v>
      </c>
      <c r="AH119" s="89">
        <v>0.0</v>
      </c>
      <c r="AI119" s="89">
        <v>0.0</v>
      </c>
      <c r="AJ119" s="89">
        <v>0.0</v>
      </c>
      <c r="AK119" s="90">
        <v>0.0</v>
      </c>
      <c r="AL119" s="85"/>
      <c r="AM119" s="85">
        <f t="shared" si="1"/>
        <v>0</v>
      </c>
      <c r="AN119" s="86" t="str">
        <f t="shared" si="2"/>
        <v/>
      </c>
      <c r="AO119" s="13"/>
    </row>
    <row r="120" ht="30.0" hidden="1" customHeight="1">
      <c r="A120" s="4" t="str">
        <f>IFERROR(VLOOKUP(C120,'Product List'!$A$2:$C198,2,FALSE),"")</f>
        <v/>
      </c>
      <c r="B120" s="5" t="str">
        <f>IFERROR(VLOOKUP(C120,'Product List'!$A$2:$C198,3,FALSE),"")</f>
        <v/>
      </c>
      <c r="C120" s="6"/>
      <c r="D120" s="5"/>
      <c r="E120" s="76">
        <f>IFERROR(__xludf.DUMMYFUNCTION("+E119+1"),105.0)</f>
        <v>105</v>
      </c>
      <c r="F120" s="77"/>
      <c r="G120" s="78">
        <v>0.0</v>
      </c>
      <c r="H120" s="78">
        <v>0.0</v>
      </c>
      <c r="I120" s="78">
        <f>IFERROR(__xludf.DUMMYFUNCTION("+G120-H120"),0.0)</f>
        <v>0</v>
      </c>
      <c r="J120" s="78">
        <v>0.0</v>
      </c>
      <c r="K120" s="78">
        <f>IFERROR(__xludf.DUMMYFUNCTION("+I120+J120"),0.0)</f>
        <v>0</v>
      </c>
      <c r="L120" s="79">
        <f>IFERROR(__xludf.DUMMYFUNCTION("+K120/$K$190"),0.0)</f>
        <v>0</v>
      </c>
      <c r="M120" s="78">
        <f>IFERROR(__xludf.DUMMYFUNCTION("+K120/$T$9"),0.0)</f>
        <v>0</v>
      </c>
      <c r="N120" s="80">
        <f>IFERROR(__xludf.DUMMYFUNCTION("+K120-SUM(O120:AL120)"),0.0)</f>
        <v>0</v>
      </c>
      <c r="O120" s="81">
        <v>0.0</v>
      </c>
      <c r="P120" s="89">
        <v>0.0</v>
      </c>
      <c r="Q120" s="89">
        <v>0.0</v>
      </c>
      <c r="R120" s="89">
        <v>0.0</v>
      </c>
      <c r="S120" s="89">
        <v>0.0</v>
      </c>
      <c r="T120" s="89">
        <v>0.0</v>
      </c>
      <c r="U120" s="89">
        <v>0.0</v>
      </c>
      <c r="V120" s="89">
        <v>0.0</v>
      </c>
      <c r="W120" s="89">
        <v>0.0</v>
      </c>
      <c r="X120" s="89">
        <v>0.0</v>
      </c>
      <c r="Y120" s="89">
        <v>0.0</v>
      </c>
      <c r="Z120" s="89">
        <v>0.0</v>
      </c>
      <c r="AA120" s="89">
        <v>0.0</v>
      </c>
      <c r="AB120" s="89">
        <v>0.0</v>
      </c>
      <c r="AC120" s="89">
        <v>0.0</v>
      </c>
      <c r="AD120" s="89">
        <v>0.0</v>
      </c>
      <c r="AE120" s="89">
        <v>0.0</v>
      </c>
      <c r="AF120" s="89">
        <v>0.0</v>
      </c>
      <c r="AG120" s="89">
        <v>0.0</v>
      </c>
      <c r="AH120" s="89">
        <v>0.0</v>
      </c>
      <c r="AI120" s="89">
        <v>0.0</v>
      </c>
      <c r="AJ120" s="89">
        <v>0.0</v>
      </c>
      <c r="AK120" s="90">
        <v>0.0</v>
      </c>
      <c r="AL120" s="85"/>
      <c r="AM120" s="85">
        <f t="shared" si="1"/>
        <v>0</v>
      </c>
      <c r="AN120" s="86" t="str">
        <f t="shared" si="2"/>
        <v/>
      </c>
      <c r="AO120" s="13"/>
    </row>
    <row r="121" ht="30.0" hidden="1" customHeight="1">
      <c r="A121" s="4" t="str">
        <f>IFERROR(VLOOKUP(C121,'Product List'!$A$2:$C198,2,FALSE),"")</f>
        <v/>
      </c>
      <c r="B121" s="5" t="str">
        <f>IFERROR(VLOOKUP(C121,'Product List'!$A$2:$C198,3,FALSE),"")</f>
        <v/>
      </c>
      <c r="C121" s="6"/>
      <c r="D121" s="5"/>
      <c r="E121" s="76">
        <f>IFERROR(__xludf.DUMMYFUNCTION("+E120+1"),106.0)</f>
        <v>106</v>
      </c>
      <c r="F121" s="77"/>
      <c r="G121" s="78">
        <v>0.0</v>
      </c>
      <c r="H121" s="78">
        <v>0.0</v>
      </c>
      <c r="I121" s="78">
        <f>IFERROR(__xludf.DUMMYFUNCTION("+G121-H121"),0.0)</f>
        <v>0</v>
      </c>
      <c r="J121" s="78">
        <v>0.0</v>
      </c>
      <c r="K121" s="78">
        <f>IFERROR(__xludf.DUMMYFUNCTION("+I121+J121"),0.0)</f>
        <v>0</v>
      </c>
      <c r="L121" s="79">
        <f>IFERROR(__xludf.DUMMYFUNCTION("+K121/$K$190"),0.0)</f>
        <v>0</v>
      </c>
      <c r="M121" s="78">
        <f>IFERROR(__xludf.DUMMYFUNCTION("+K121/$T$9"),0.0)</f>
        <v>0</v>
      </c>
      <c r="N121" s="80">
        <f>IFERROR(__xludf.DUMMYFUNCTION("+K121-SUM(O121:AL121)"),0.0)</f>
        <v>0</v>
      </c>
      <c r="O121" s="81">
        <v>0.0</v>
      </c>
      <c r="P121" s="89">
        <v>0.0</v>
      </c>
      <c r="Q121" s="89">
        <v>0.0</v>
      </c>
      <c r="R121" s="89">
        <v>0.0</v>
      </c>
      <c r="S121" s="89">
        <v>0.0</v>
      </c>
      <c r="T121" s="89">
        <v>0.0</v>
      </c>
      <c r="U121" s="89">
        <v>0.0</v>
      </c>
      <c r="V121" s="89">
        <v>0.0</v>
      </c>
      <c r="W121" s="89">
        <v>0.0</v>
      </c>
      <c r="X121" s="89">
        <v>0.0</v>
      </c>
      <c r="Y121" s="89">
        <v>0.0</v>
      </c>
      <c r="Z121" s="89">
        <v>0.0</v>
      </c>
      <c r="AA121" s="89">
        <v>0.0</v>
      </c>
      <c r="AB121" s="89">
        <v>0.0</v>
      </c>
      <c r="AC121" s="89">
        <v>0.0</v>
      </c>
      <c r="AD121" s="89">
        <v>0.0</v>
      </c>
      <c r="AE121" s="89">
        <v>0.0</v>
      </c>
      <c r="AF121" s="89">
        <v>0.0</v>
      </c>
      <c r="AG121" s="89">
        <v>0.0</v>
      </c>
      <c r="AH121" s="89">
        <v>0.0</v>
      </c>
      <c r="AI121" s="89">
        <v>0.0</v>
      </c>
      <c r="AJ121" s="89">
        <v>0.0</v>
      </c>
      <c r="AK121" s="90">
        <v>0.0</v>
      </c>
      <c r="AL121" s="85"/>
      <c r="AM121" s="85">
        <f t="shared" si="1"/>
        <v>0</v>
      </c>
      <c r="AN121" s="86" t="str">
        <f t="shared" si="2"/>
        <v/>
      </c>
      <c r="AO121" s="13"/>
    </row>
    <row r="122" ht="30.0" hidden="1" customHeight="1">
      <c r="A122" s="4" t="str">
        <f>IFERROR(VLOOKUP(C122,'Product List'!$A$2:$C198,2,FALSE),"")</f>
        <v/>
      </c>
      <c r="B122" s="5" t="str">
        <f>IFERROR(VLOOKUP(C122,'Product List'!$A$2:$C198,3,FALSE),"")</f>
        <v/>
      </c>
      <c r="C122" s="6"/>
      <c r="D122" s="5"/>
      <c r="E122" s="76">
        <f>IFERROR(__xludf.DUMMYFUNCTION("+E121+1"),107.0)</f>
        <v>107</v>
      </c>
      <c r="F122" s="77"/>
      <c r="G122" s="78">
        <v>0.0</v>
      </c>
      <c r="H122" s="78">
        <v>0.0</v>
      </c>
      <c r="I122" s="78">
        <f>IFERROR(__xludf.DUMMYFUNCTION("+G122-H122"),0.0)</f>
        <v>0</v>
      </c>
      <c r="J122" s="78">
        <v>0.0</v>
      </c>
      <c r="K122" s="78">
        <f>IFERROR(__xludf.DUMMYFUNCTION("+I122+J122"),0.0)</f>
        <v>0</v>
      </c>
      <c r="L122" s="79">
        <f>IFERROR(__xludf.DUMMYFUNCTION("+K122/$K$190"),0.0)</f>
        <v>0</v>
      </c>
      <c r="M122" s="78">
        <f>IFERROR(__xludf.DUMMYFUNCTION("+K122/$T$9"),0.0)</f>
        <v>0</v>
      </c>
      <c r="N122" s="80">
        <f>IFERROR(__xludf.DUMMYFUNCTION("+K122-SUM(O122:AL122)"),0.0)</f>
        <v>0</v>
      </c>
      <c r="O122" s="81">
        <v>0.0</v>
      </c>
      <c r="P122" s="89">
        <v>0.0</v>
      </c>
      <c r="Q122" s="89">
        <v>0.0</v>
      </c>
      <c r="R122" s="89">
        <v>0.0</v>
      </c>
      <c r="S122" s="89">
        <v>0.0</v>
      </c>
      <c r="T122" s="89">
        <v>0.0</v>
      </c>
      <c r="U122" s="89">
        <v>0.0</v>
      </c>
      <c r="V122" s="89">
        <v>0.0</v>
      </c>
      <c r="W122" s="89">
        <v>0.0</v>
      </c>
      <c r="X122" s="89">
        <v>0.0</v>
      </c>
      <c r="Y122" s="89">
        <v>0.0</v>
      </c>
      <c r="Z122" s="89">
        <v>0.0</v>
      </c>
      <c r="AA122" s="89">
        <v>0.0</v>
      </c>
      <c r="AB122" s="89">
        <v>0.0</v>
      </c>
      <c r="AC122" s="89">
        <v>0.0</v>
      </c>
      <c r="AD122" s="89">
        <v>0.0</v>
      </c>
      <c r="AE122" s="89">
        <v>0.0</v>
      </c>
      <c r="AF122" s="89">
        <v>0.0</v>
      </c>
      <c r="AG122" s="89">
        <v>0.0</v>
      </c>
      <c r="AH122" s="89">
        <v>0.0</v>
      </c>
      <c r="AI122" s="89">
        <v>0.0</v>
      </c>
      <c r="AJ122" s="89">
        <v>0.0</v>
      </c>
      <c r="AK122" s="90">
        <v>0.0</v>
      </c>
      <c r="AL122" s="85"/>
      <c r="AM122" s="85">
        <f t="shared" si="1"/>
        <v>0</v>
      </c>
      <c r="AN122" s="86" t="str">
        <f t="shared" si="2"/>
        <v/>
      </c>
      <c r="AO122" s="13"/>
    </row>
    <row r="123" ht="30.0" hidden="1" customHeight="1">
      <c r="A123" s="4" t="str">
        <f>IFERROR(VLOOKUP(C123,'Product List'!$A$2:$C198,2,FALSE),"")</f>
        <v/>
      </c>
      <c r="B123" s="5" t="str">
        <f>IFERROR(VLOOKUP(C123,'Product List'!$A$2:$C198,3,FALSE),"")</f>
        <v/>
      </c>
      <c r="C123" s="6"/>
      <c r="D123" s="5"/>
      <c r="E123" s="76">
        <f>IFERROR(__xludf.DUMMYFUNCTION("+E122+1"),108.0)</f>
        <v>108</v>
      </c>
      <c r="F123" s="77"/>
      <c r="G123" s="78">
        <v>0.0</v>
      </c>
      <c r="H123" s="78">
        <v>0.0</v>
      </c>
      <c r="I123" s="78">
        <f>IFERROR(__xludf.DUMMYFUNCTION("+G123-H123"),0.0)</f>
        <v>0</v>
      </c>
      <c r="J123" s="78">
        <v>0.0</v>
      </c>
      <c r="K123" s="78">
        <f>IFERROR(__xludf.DUMMYFUNCTION("+I123+J123"),0.0)</f>
        <v>0</v>
      </c>
      <c r="L123" s="79">
        <f>IFERROR(__xludf.DUMMYFUNCTION("+K123/$K$190"),0.0)</f>
        <v>0</v>
      </c>
      <c r="M123" s="78">
        <f>IFERROR(__xludf.DUMMYFUNCTION("+K123/$T$9"),0.0)</f>
        <v>0</v>
      </c>
      <c r="N123" s="80">
        <f>IFERROR(__xludf.DUMMYFUNCTION("+K123-SUM(O123:AL123)"),0.0)</f>
        <v>0</v>
      </c>
      <c r="O123" s="81">
        <v>0.0</v>
      </c>
      <c r="P123" s="89">
        <v>0.0</v>
      </c>
      <c r="Q123" s="89">
        <v>0.0</v>
      </c>
      <c r="R123" s="89">
        <v>0.0</v>
      </c>
      <c r="S123" s="89">
        <v>0.0</v>
      </c>
      <c r="T123" s="89">
        <v>0.0</v>
      </c>
      <c r="U123" s="89">
        <v>0.0</v>
      </c>
      <c r="V123" s="89">
        <v>0.0</v>
      </c>
      <c r="W123" s="89">
        <v>0.0</v>
      </c>
      <c r="X123" s="89">
        <v>0.0</v>
      </c>
      <c r="Y123" s="89">
        <v>0.0</v>
      </c>
      <c r="Z123" s="89">
        <v>0.0</v>
      </c>
      <c r="AA123" s="89">
        <v>0.0</v>
      </c>
      <c r="AB123" s="89">
        <v>0.0</v>
      </c>
      <c r="AC123" s="89">
        <v>0.0</v>
      </c>
      <c r="AD123" s="89">
        <v>0.0</v>
      </c>
      <c r="AE123" s="89">
        <v>0.0</v>
      </c>
      <c r="AF123" s="89">
        <v>0.0</v>
      </c>
      <c r="AG123" s="89">
        <v>0.0</v>
      </c>
      <c r="AH123" s="89">
        <v>0.0</v>
      </c>
      <c r="AI123" s="89">
        <v>0.0</v>
      </c>
      <c r="AJ123" s="89">
        <v>0.0</v>
      </c>
      <c r="AK123" s="90">
        <v>0.0</v>
      </c>
      <c r="AL123" s="85"/>
      <c r="AM123" s="85">
        <f t="shared" si="1"/>
        <v>0</v>
      </c>
      <c r="AN123" s="86" t="str">
        <f t="shared" si="2"/>
        <v/>
      </c>
      <c r="AO123" s="13"/>
    </row>
    <row r="124" ht="30.0" hidden="1" customHeight="1">
      <c r="A124" s="4" t="str">
        <f>IFERROR(VLOOKUP(C124,'Product List'!$A$2:$C198,2,FALSE),"")</f>
        <v/>
      </c>
      <c r="B124" s="5" t="str">
        <f>IFERROR(VLOOKUP(C124,'Product List'!$A$2:$C198,3,FALSE),"")</f>
        <v/>
      </c>
      <c r="C124" s="6"/>
      <c r="D124" s="5"/>
      <c r="E124" s="76">
        <f>IFERROR(__xludf.DUMMYFUNCTION("+E123+1"),109.0)</f>
        <v>109</v>
      </c>
      <c r="F124" s="77"/>
      <c r="G124" s="78">
        <v>0.0</v>
      </c>
      <c r="H124" s="78">
        <v>0.0</v>
      </c>
      <c r="I124" s="78">
        <f>IFERROR(__xludf.DUMMYFUNCTION("+G124-H124"),0.0)</f>
        <v>0</v>
      </c>
      <c r="J124" s="78">
        <v>0.0</v>
      </c>
      <c r="K124" s="78">
        <f>IFERROR(__xludf.DUMMYFUNCTION("+I124+J124"),0.0)</f>
        <v>0</v>
      </c>
      <c r="L124" s="79">
        <f>IFERROR(__xludf.DUMMYFUNCTION("+K124/$K$190"),0.0)</f>
        <v>0</v>
      </c>
      <c r="M124" s="78">
        <f>IFERROR(__xludf.DUMMYFUNCTION("+K124/$T$9"),0.0)</f>
        <v>0</v>
      </c>
      <c r="N124" s="80">
        <f>IFERROR(__xludf.DUMMYFUNCTION("+K124-SUM(O124:AL124)"),0.0)</f>
        <v>0</v>
      </c>
      <c r="O124" s="81">
        <v>0.0</v>
      </c>
      <c r="P124" s="89">
        <v>0.0</v>
      </c>
      <c r="Q124" s="89">
        <v>0.0</v>
      </c>
      <c r="R124" s="89">
        <v>0.0</v>
      </c>
      <c r="S124" s="89">
        <v>0.0</v>
      </c>
      <c r="T124" s="89">
        <v>0.0</v>
      </c>
      <c r="U124" s="89">
        <v>0.0</v>
      </c>
      <c r="V124" s="89">
        <v>0.0</v>
      </c>
      <c r="W124" s="89">
        <v>0.0</v>
      </c>
      <c r="X124" s="89">
        <v>0.0</v>
      </c>
      <c r="Y124" s="89">
        <v>0.0</v>
      </c>
      <c r="Z124" s="89">
        <v>0.0</v>
      </c>
      <c r="AA124" s="89">
        <v>0.0</v>
      </c>
      <c r="AB124" s="89">
        <v>0.0</v>
      </c>
      <c r="AC124" s="89">
        <v>0.0</v>
      </c>
      <c r="AD124" s="89">
        <v>0.0</v>
      </c>
      <c r="AE124" s="89">
        <v>0.0</v>
      </c>
      <c r="AF124" s="89">
        <v>0.0</v>
      </c>
      <c r="AG124" s="89">
        <v>0.0</v>
      </c>
      <c r="AH124" s="89">
        <v>0.0</v>
      </c>
      <c r="AI124" s="89">
        <v>0.0</v>
      </c>
      <c r="AJ124" s="89">
        <v>0.0</v>
      </c>
      <c r="AK124" s="90">
        <v>0.0</v>
      </c>
      <c r="AL124" s="85"/>
      <c r="AM124" s="85">
        <f t="shared" si="1"/>
        <v>0</v>
      </c>
      <c r="AN124" s="86" t="str">
        <f t="shared" si="2"/>
        <v/>
      </c>
      <c r="AO124" s="13"/>
    </row>
    <row r="125" ht="30.0" hidden="1" customHeight="1">
      <c r="A125" s="4" t="str">
        <f>IFERROR(VLOOKUP(C125,'Product List'!$A$2:$C198,2,FALSE),"")</f>
        <v/>
      </c>
      <c r="B125" s="5" t="str">
        <f>IFERROR(VLOOKUP(C125,'Product List'!$A$2:$C198,3,FALSE),"")</f>
        <v/>
      </c>
      <c r="C125" s="6"/>
      <c r="D125" s="5"/>
      <c r="E125" s="76">
        <f>IFERROR(__xludf.DUMMYFUNCTION("+E124+1"),110.0)</f>
        <v>110</v>
      </c>
      <c r="F125" s="77"/>
      <c r="G125" s="78">
        <v>0.0</v>
      </c>
      <c r="H125" s="78">
        <v>0.0</v>
      </c>
      <c r="I125" s="78">
        <f>IFERROR(__xludf.DUMMYFUNCTION("+G125-H125"),0.0)</f>
        <v>0</v>
      </c>
      <c r="J125" s="78">
        <v>0.0</v>
      </c>
      <c r="K125" s="78">
        <f>IFERROR(__xludf.DUMMYFUNCTION("+I125+J125"),0.0)</f>
        <v>0</v>
      </c>
      <c r="L125" s="79">
        <f>IFERROR(__xludf.DUMMYFUNCTION("+K125/$K$190"),0.0)</f>
        <v>0</v>
      </c>
      <c r="M125" s="78">
        <f>IFERROR(__xludf.DUMMYFUNCTION("+K125/$T$9"),0.0)</f>
        <v>0</v>
      </c>
      <c r="N125" s="80">
        <f>IFERROR(__xludf.DUMMYFUNCTION("+K125-SUM(O125:AL125)"),0.0)</f>
        <v>0</v>
      </c>
      <c r="O125" s="81">
        <v>0.0</v>
      </c>
      <c r="P125" s="89">
        <v>0.0</v>
      </c>
      <c r="Q125" s="89">
        <v>0.0</v>
      </c>
      <c r="R125" s="89">
        <v>0.0</v>
      </c>
      <c r="S125" s="89">
        <v>0.0</v>
      </c>
      <c r="T125" s="89">
        <v>0.0</v>
      </c>
      <c r="U125" s="89">
        <v>0.0</v>
      </c>
      <c r="V125" s="89">
        <v>0.0</v>
      </c>
      <c r="W125" s="89">
        <v>0.0</v>
      </c>
      <c r="X125" s="89">
        <v>0.0</v>
      </c>
      <c r="Y125" s="89">
        <v>0.0</v>
      </c>
      <c r="Z125" s="89">
        <v>0.0</v>
      </c>
      <c r="AA125" s="89">
        <v>0.0</v>
      </c>
      <c r="AB125" s="89">
        <v>0.0</v>
      </c>
      <c r="AC125" s="89">
        <v>0.0</v>
      </c>
      <c r="AD125" s="89">
        <v>0.0</v>
      </c>
      <c r="AE125" s="89">
        <v>0.0</v>
      </c>
      <c r="AF125" s="89">
        <v>0.0</v>
      </c>
      <c r="AG125" s="89">
        <v>0.0</v>
      </c>
      <c r="AH125" s="89">
        <v>0.0</v>
      </c>
      <c r="AI125" s="89">
        <v>0.0</v>
      </c>
      <c r="AJ125" s="89">
        <v>0.0</v>
      </c>
      <c r="AK125" s="90">
        <v>0.0</v>
      </c>
      <c r="AL125" s="85"/>
      <c r="AM125" s="85">
        <f t="shared" si="1"/>
        <v>0</v>
      </c>
      <c r="AN125" s="86" t="str">
        <f t="shared" si="2"/>
        <v/>
      </c>
      <c r="AO125" s="13"/>
    </row>
    <row r="126" ht="30.0" hidden="1" customHeight="1">
      <c r="A126" s="4" t="str">
        <f>IFERROR(VLOOKUP(C126,'Product List'!$A$2:$C198,2,FALSE),"")</f>
        <v/>
      </c>
      <c r="B126" s="5" t="str">
        <f>IFERROR(VLOOKUP(C126,'Product List'!$A$2:$C198,3,FALSE),"")</f>
        <v/>
      </c>
      <c r="C126" s="6"/>
      <c r="D126" s="5"/>
      <c r="E126" s="76">
        <f>IFERROR(__xludf.DUMMYFUNCTION("+E125+1"),111.0)</f>
        <v>111</v>
      </c>
      <c r="F126" s="77"/>
      <c r="G126" s="78">
        <v>0.0</v>
      </c>
      <c r="H126" s="78">
        <v>0.0</v>
      </c>
      <c r="I126" s="78">
        <f>IFERROR(__xludf.DUMMYFUNCTION("+G126-H126"),0.0)</f>
        <v>0</v>
      </c>
      <c r="J126" s="78">
        <v>0.0</v>
      </c>
      <c r="K126" s="78">
        <f>IFERROR(__xludf.DUMMYFUNCTION("+I126+J126"),0.0)</f>
        <v>0</v>
      </c>
      <c r="L126" s="79">
        <f>IFERROR(__xludf.DUMMYFUNCTION("+K126/$K$190"),0.0)</f>
        <v>0</v>
      </c>
      <c r="M126" s="78">
        <f>IFERROR(__xludf.DUMMYFUNCTION("+K126/$T$9"),0.0)</f>
        <v>0</v>
      </c>
      <c r="N126" s="80">
        <f>IFERROR(__xludf.DUMMYFUNCTION("+K126-SUM(O126:AL126)"),0.0)</f>
        <v>0</v>
      </c>
      <c r="O126" s="81">
        <v>0.0</v>
      </c>
      <c r="P126" s="89">
        <v>0.0</v>
      </c>
      <c r="Q126" s="89">
        <v>0.0</v>
      </c>
      <c r="R126" s="89">
        <v>0.0</v>
      </c>
      <c r="S126" s="89">
        <v>0.0</v>
      </c>
      <c r="T126" s="89">
        <v>0.0</v>
      </c>
      <c r="U126" s="89">
        <v>0.0</v>
      </c>
      <c r="V126" s="89">
        <v>0.0</v>
      </c>
      <c r="W126" s="89">
        <v>0.0</v>
      </c>
      <c r="X126" s="89">
        <v>0.0</v>
      </c>
      <c r="Y126" s="89">
        <v>0.0</v>
      </c>
      <c r="Z126" s="89">
        <v>0.0</v>
      </c>
      <c r="AA126" s="89">
        <v>0.0</v>
      </c>
      <c r="AB126" s="89">
        <v>0.0</v>
      </c>
      <c r="AC126" s="89">
        <v>0.0</v>
      </c>
      <c r="AD126" s="89">
        <v>0.0</v>
      </c>
      <c r="AE126" s="89">
        <v>0.0</v>
      </c>
      <c r="AF126" s="89">
        <v>0.0</v>
      </c>
      <c r="AG126" s="89">
        <v>0.0</v>
      </c>
      <c r="AH126" s="89">
        <v>0.0</v>
      </c>
      <c r="AI126" s="89">
        <v>0.0</v>
      </c>
      <c r="AJ126" s="89">
        <v>0.0</v>
      </c>
      <c r="AK126" s="90">
        <v>0.0</v>
      </c>
      <c r="AL126" s="85"/>
      <c r="AM126" s="85">
        <f t="shared" si="1"/>
        <v>0</v>
      </c>
      <c r="AN126" s="86" t="str">
        <f t="shared" si="2"/>
        <v/>
      </c>
      <c r="AO126" s="13"/>
    </row>
    <row r="127" ht="30.0" hidden="1" customHeight="1">
      <c r="A127" s="4" t="str">
        <f>IFERROR(VLOOKUP(C127,'Product List'!$A$2:$C198,2,FALSE),"")</f>
        <v/>
      </c>
      <c r="B127" s="5" t="str">
        <f>IFERROR(VLOOKUP(C127,'Product List'!$A$2:$C198,3,FALSE),"")</f>
        <v/>
      </c>
      <c r="C127" s="6"/>
      <c r="D127" s="5"/>
      <c r="E127" s="76">
        <f>IFERROR(__xludf.DUMMYFUNCTION("+E126+1"),112.0)</f>
        <v>112</v>
      </c>
      <c r="F127" s="77"/>
      <c r="G127" s="78">
        <v>0.0</v>
      </c>
      <c r="H127" s="78">
        <v>0.0</v>
      </c>
      <c r="I127" s="78">
        <f>IFERROR(__xludf.DUMMYFUNCTION("+G127-H127"),0.0)</f>
        <v>0</v>
      </c>
      <c r="J127" s="78">
        <v>0.0</v>
      </c>
      <c r="K127" s="78">
        <f>IFERROR(__xludf.DUMMYFUNCTION("+I127+J127"),0.0)</f>
        <v>0</v>
      </c>
      <c r="L127" s="79">
        <f>IFERROR(__xludf.DUMMYFUNCTION("+K127/$K$190"),0.0)</f>
        <v>0</v>
      </c>
      <c r="M127" s="78">
        <f>IFERROR(__xludf.DUMMYFUNCTION("+K127/$T$9"),0.0)</f>
        <v>0</v>
      </c>
      <c r="N127" s="80">
        <f>IFERROR(__xludf.DUMMYFUNCTION("+K127-SUM(O127:AL127)"),0.0)</f>
        <v>0</v>
      </c>
      <c r="O127" s="81">
        <v>0.0</v>
      </c>
      <c r="P127" s="89">
        <v>0.0</v>
      </c>
      <c r="Q127" s="89">
        <v>0.0</v>
      </c>
      <c r="R127" s="89">
        <v>0.0</v>
      </c>
      <c r="S127" s="89">
        <v>0.0</v>
      </c>
      <c r="T127" s="89">
        <v>0.0</v>
      </c>
      <c r="U127" s="89">
        <v>0.0</v>
      </c>
      <c r="V127" s="89">
        <v>0.0</v>
      </c>
      <c r="W127" s="89">
        <v>0.0</v>
      </c>
      <c r="X127" s="89">
        <v>0.0</v>
      </c>
      <c r="Y127" s="89">
        <v>0.0</v>
      </c>
      <c r="Z127" s="89">
        <v>0.0</v>
      </c>
      <c r="AA127" s="89">
        <v>0.0</v>
      </c>
      <c r="AB127" s="89">
        <v>0.0</v>
      </c>
      <c r="AC127" s="89">
        <v>0.0</v>
      </c>
      <c r="AD127" s="89">
        <v>0.0</v>
      </c>
      <c r="AE127" s="89">
        <v>0.0</v>
      </c>
      <c r="AF127" s="89">
        <v>0.0</v>
      </c>
      <c r="AG127" s="89">
        <v>0.0</v>
      </c>
      <c r="AH127" s="89">
        <v>0.0</v>
      </c>
      <c r="AI127" s="89">
        <v>0.0</v>
      </c>
      <c r="AJ127" s="89">
        <v>0.0</v>
      </c>
      <c r="AK127" s="90">
        <v>0.0</v>
      </c>
      <c r="AL127" s="85"/>
      <c r="AM127" s="85">
        <f t="shared" si="1"/>
        <v>0</v>
      </c>
      <c r="AN127" s="86" t="str">
        <f t="shared" si="2"/>
        <v/>
      </c>
      <c r="AO127" s="13"/>
    </row>
    <row r="128" ht="30.0" hidden="1" customHeight="1">
      <c r="A128" s="4" t="str">
        <f>IFERROR(VLOOKUP(C128,'Product List'!$A$2:$C198,2,FALSE),"")</f>
        <v/>
      </c>
      <c r="B128" s="5" t="str">
        <f>IFERROR(VLOOKUP(C128,'Product List'!$A$2:$C198,3,FALSE),"")</f>
        <v/>
      </c>
      <c r="C128" s="6"/>
      <c r="D128" s="5"/>
      <c r="E128" s="76">
        <f>IFERROR(__xludf.DUMMYFUNCTION("+E127+1"),113.0)</f>
        <v>113</v>
      </c>
      <c r="F128" s="77"/>
      <c r="G128" s="78">
        <v>0.0</v>
      </c>
      <c r="H128" s="78">
        <v>0.0</v>
      </c>
      <c r="I128" s="78">
        <f>IFERROR(__xludf.DUMMYFUNCTION("+G128-H128"),0.0)</f>
        <v>0</v>
      </c>
      <c r="J128" s="78">
        <v>0.0</v>
      </c>
      <c r="K128" s="78">
        <f>IFERROR(__xludf.DUMMYFUNCTION("+I128+J128"),0.0)</f>
        <v>0</v>
      </c>
      <c r="L128" s="79">
        <f>IFERROR(__xludf.DUMMYFUNCTION("+K128/$K$190"),0.0)</f>
        <v>0</v>
      </c>
      <c r="M128" s="78">
        <f>IFERROR(__xludf.DUMMYFUNCTION("+K128/$T$9"),0.0)</f>
        <v>0</v>
      </c>
      <c r="N128" s="80">
        <f>IFERROR(__xludf.DUMMYFUNCTION("+K128-SUM(O128:AL128)"),0.0)</f>
        <v>0</v>
      </c>
      <c r="O128" s="81">
        <v>0.0</v>
      </c>
      <c r="P128" s="89">
        <v>0.0</v>
      </c>
      <c r="Q128" s="89">
        <v>0.0</v>
      </c>
      <c r="R128" s="89">
        <v>0.0</v>
      </c>
      <c r="S128" s="89">
        <v>0.0</v>
      </c>
      <c r="T128" s="89">
        <v>0.0</v>
      </c>
      <c r="U128" s="89">
        <v>0.0</v>
      </c>
      <c r="V128" s="89">
        <v>0.0</v>
      </c>
      <c r="W128" s="89">
        <v>0.0</v>
      </c>
      <c r="X128" s="89">
        <v>0.0</v>
      </c>
      <c r="Y128" s="89">
        <v>0.0</v>
      </c>
      <c r="Z128" s="89">
        <v>0.0</v>
      </c>
      <c r="AA128" s="89">
        <v>0.0</v>
      </c>
      <c r="AB128" s="89">
        <v>0.0</v>
      </c>
      <c r="AC128" s="89">
        <v>0.0</v>
      </c>
      <c r="AD128" s="89">
        <v>0.0</v>
      </c>
      <c r="AE128" s="89">
        <v>0.0</v>
      </c>
      <c r="AF128" s="89">
        <v>0.0</v>
      </c>
      <c r="AG128" s="89">
        <v>0.0</v>
      </c>
      <c r="AH128" s="89">
        <v>0.0</v>
      </c>
      <c r="AI128" s="89">
        <v>0.0</v>
      </c>
      <c r="AJ128" s="89">
        <v>0.0</v>
      </c>
      <c r="AK128" s="90">
        <v>0.0</v>
      </c>
      <c r="AL128" s="85"/>
      <c r="AM128" s="85">
        <f t="shared" si="1"/>
        <v>0</v>
      </c>
      <c r="AN128" s="86" t="str">
        <f t="shared" si="2"/>
        <v/>
      </c>
      <c r="AO128" s="13"/>
    </row>
    <row r="129" ht="30.0" hidden="1" customHeight="1">
      <c r="A129" s="4" t="str">
        <f>IFERROR(VLOOKUP(C129,'Product List'!$A$2:$C198,2,FALSE),"")</f>
        <v/>
      </c>
      <c r="B129" s="5" t="str">
        <f>IFERROR(VLOOKUP(C129,'Product List'!$A$2:$C198,3,FALSE),"")</f>
        <v/>
      </c>
      <c r="C129" s="6"/>
      <c r="D129" s="5"/>
      <c r="E129" s="76">
        <f>IFERROR(__xludf.DUMMYFUNCTION("+E128+1"),114.0)</f>
        <v>114</v>
      </c>
      <c r="F129" s="77"/>
      <c r="G129" s="78">
        <v>0.0</v>
      </c>
      <c r="H129" s="78">
        <v>0.0</v>
      </c>
      <c r="I129" s="78">
        <f>IFERROR(__xludf.DUMMYFUNCTION("+G129-H129"),0.0)</f>
        <v>0</v>
      </c>
      <c r="J129" s="78">
        <v>0.0</v>
      </c>
      <c r="K129" s="78">
        <f>IFERROR(__xludf.DUMMYFUNCTION("+I129+J129"),0.0)</f>
        <v>0</v>
      </c>
      <c r="L129" s="79">
        <f>IFERROR(__xludf.DUMMYFUNCTION("+K129/$K$190"),0.0)</f>
        <v>0</v>
      </c>
      <c r="M129" s="78">
        <f>IFERROR(__xludf.DUMMYFUNCTION("+K129/$T$9"),0.0)</f>
        <v>0</v>
      </c>
      <c r="N129" s="80">
        <f>IFERROR(__xludf.DUMMYFUNCTION("+K129-SUM(O129:AL129)"),0.0)</f>
        <v>0</v>
      </c>
      <c r="O129" s="81">
        <v>0.0</v>
      </c>
      <c r="P129" s="89">
        <v>0.0</v>
      </c>
      <c r="Q129" s="89">
        <v>0.0</v>
      </c>
      <c r="R129" s="89">
        <v>0.0</v>
      </c>
      <c r="S129" s="89">
        <v>0.0</v>
      </c>
      <c r="T129" s="89">
        <v>0.0</v>
      </c>
      <c r="U129" s="89">
        <v>0.0</v>
      </c>
      <c r="V129" s="89">
        <v>0.0</v>
      </c>
      <c r="W129" s="89">
        <v>0.0</v>
      </c>
      <c r="X129" s="89">
        <v>0.0</v>
      </c>
      <c r="Y129" s="89">
        <v>0.0</v>
      </c>
      <c r="Z129" s="89">
        <v>0.0</v>
      </c>
      <c r="AA129" s="89">
        <v>0.0</v>
      </c>
      <c r="AB129" s="89">
        <v>0.0</v>
      </c>
      <c r="AC129" s="89">
        <v>0.0</v>
      </c>
      <c r="AD129" s="89">
        <v>0.0</v>
      </c>
      <c r="AE129" s="89">
        <v>0.0</v>
      </c>
      <c r="AF129" s="89">
        <v>0.0</v>
      </c>
      <c r="AG129" s="89">
        <v>0.0</v>
      </c>
      <c r="AH129" s="89">
        <v>0.0</v>
      </c>
      <c r="AI129" s="89">
        <v>0.0</v>
      </c>
      <c r="AJ129" s="89">
        <v>0.0</v>
      </c>
      <c r="AK129" s="90">
        <v>0.0</v>
      </c>
      <c r="AL129" s="85"/>
      <c r="AM129" s="85">
        <f t="shared" si="1"/>
        <v>0</v>
      </c>
      <c r="AN129" s="86" t="str">
        <f t="shared" si="2"/>
        <v/>
      </c>
      <c r="AO129" s="13"/>
    </row>
    <row r="130" ht="30.0" hidden="1" customHeight="1">
      <c r="A130" s="4" t="str">
        <f>IFERROR(VLOOKUP(C130,'Product List'!$A$2:$C198,2,FALSE),"")</f>
        <v/>
      </c>
      <c r="B130" s="5" t="str">
        <f>IFERROR(VLOOKUP(C130,'Product List'!$A$2:$C198,3,FALSE),"")</f>
        <v/>
      </c>
      <c r="C130" s="6"/>
      <c r="D130" s="5"/>
      <c r="E130" s="76">
        <f>IFERROR(__xludf.DUMMYFUNCTION("+E129+1"),115.0)</f>
        <v>115</v>
      </c>
      <c r="F130" s="77"/>
      <c r="G130" s="78">
        <v>0.0</v>
      </c>
      <c r="H130" s="78">
        <v>0.0</v>
      </c>
      <c r="I130" s="78">
        <f>IFERROR(__xludf.DUMMYFUNCTION("+G130-H130"),0.0)</f>
        <v>0</v>
      </c>
      <c r="J130" s="78">
        <v>0.0</v>
      </c>
      <c r="K130" s="78">
        <f>IFERROR(__xludf.DUMMYFUNCTION("+I130+J130"),0.0)</f>
        <v>0</v>
      </c>
      <c r="L130" s="79">
        <f>IFERROR(__xludf.DUMMYFUNCTION("+K130/$K$190"),0.0)</f>
        <v>0</v>
      </c>
      <c r="M130" s="78">
        <f>IFERROR(__xludf.DUMMYFUNCTION("+K130/$T$9"),0.0)</f>
        <v>0</v>
      </c>
      <c r="N130" s="80">
        <f>IFERROR(__xludf.DUMMYFUNCTION("+K130-SUM(O130:AL130)"),0.0)</f>
        <v>0</v>
      </c>
      <c r="O130" s="81">
        <v>0.0</v>
      </c>
      <c r="P130" s="89">
        <v>0.0</v>
      </c>
      <c r="Q130" s="89">
        <v>0.0</v>
      </c>
      <c r="R130" s="89">
        <v>0.0</v>
      </c>
      <c r="S130" s="89">
        <v>0.0</v>
      </c>
      <c r="T130" s="89">
        <v>0.0</v>
      </c>
      <c r="U130" s="89">
        <v>0.0</v>
      </c>
      <c r="V130" s="89">
        <v>0.0</v>
      </c>
      <c r="W130" s="89">
        <v>0.0</v>
      </c>
      <c r="X130" s="89">
        <v>0.0</v>
      </c>
      <c r="Y130" s="89">
        <v>0.0</v>
      </c>
      <c r="Z130" s="89">
        <v>0.0</v>
      </c>
      <c r="AA130" s="89">
        <v>0.0</v>
      </c>
      <c r="AB130" s="89">
        <v>0.0</v>
      </c>
      <c r="AC130" s="89">
        <v>0.0</v>
      </c>
      <c r="AD130" s="89">
        <v>0.0</v>
      </c>
      <c r="AE130" s="89">
        <v>0.0</v>
      </c>
      <c r="AF130" s="89">
        <v>0.0</v>
      </c>
      <c r="AG130" s="89">
        <v>0.0</v>
      </c>
      <c r="AH130" s="89">
        <v>0.0</v>
      </c>
      <c r="AI130" s="89">
        <v>0.0</v>
      </c>
      <c r="AJ130" s="89">
        <v>0.0</v>
      </c>
      <c r="AK130" s="90">
        <v>0.0</v>
      </c>
      <c r="AL130" s="85"/>
      <c r="AM130" s="85">
        <f t="shared" si="1"/>
        <v>0</v>
      </c>
      <c r="AN130" s="86" t="str">
        <f t="shared" si="2"/>
        <v/>
      </c>
      <c r="AO130" s="13"/>
    </row>
    <row r="131" ht="30.0" hidden="1" customHeight="1">
      <c r="A131" s="4" t="str">
        <f>IFERROR(VLOOKUP(C131,'Product List'!$A$2:$C198,2,FALSE),"")</f>
        <v/>
      </c>
      <c r="B131" s="5" t="str">
        <f>IFERROR(VLOOKUP(C131,'Product List'!$A$2:$C198,3,FALSE),"")</f>
        <v/>
      </c>
      <c r="C131" s="6"/>
      <c r="D131" s="5"/>
      <c r="E131" s="76">
        <f>IFERROR(__xludf.DUMMYFUNCTION("+E130+1"),116.0)</f>
        <v>116</v>
      </c>
      <c r="F131" s="77"/>
      <c r="G131" s="78">
        <v>0.0</v>
      </c>
      <c r="H131" s="78">
        <v>0.0</v>
      </c>
      <c r="I131" s="78">
        <f>IFERROR(__xludf.DUMMYFUNCTION("+G131-H131"),0.0)</f>
        <v>0</v>
      </c>
      <c r="J131" s="78">
        <v>0.0</v>
      </c>
      <c r="K131" s="78">
        <f>IFERROR(__xludf.DUMMYFUNCTION("+I131+J131"),0.0)</f>
        <v>0</v>
      </c>
      <c r="L131" s="79">
        <f>IFERROR(__xludf.DUMMYFUNCTION("+K131/$K$190"),0.0)</f>
        <v>0</v>
      </c>
      <c r="M131" s="78">
        <f>IFERROR(__xludf.DUMMYFUNCTION("+K131/$T$9"),0.0)</f>
        <v>0</v>
      </c>
      <c r="N131" s="80">
        <f>IFERROR(__xludf.DUMMYFUNCTION("+K131-SUM(O131:AL131)"),0.0)</f>
        <v>0</v>
      </c>
      <c r="O131" s="81">
        <v>0.0</v>
      </c>
      <c r="P131" s="89">
        <v>0.0</v>
      </c>
      <c r="Q131" s="89">
        <v>0.0</v>
      </c>
      <c r="R131" s="89">
        <v>0.0</v>
      </c>
      <c r="S131" s="89">
        <v>0.0</v>
      </c>
      <c r="T131" s="89">
        <v>0.0</v>
      </c>
      <c r="U131" s="89">
        <v>0.0</v>
      </c>
      <c r="V131" s="89">
        <v>0.0</v>
      </c>
      <c r="W131" s="89">
        <v>0.0</v>
      </c>
      <c r="X131" s="89">
        <v>0.0</v>
      </c>
      <c r="Y131" s="89">
        <v>0.0</v>
      </c>
      <c r="Z131" s="89">
        <v>0.0</v>
      </c>
      <c r="AA131" s="89">
        <v>0.0</v>
      </c>
      <c r="AB131" s="89">
        <v>0.0</v>
      </c>
      <c r="AC131" s="89">
        <v>0.0</v>
      </c>
      <c r="AD131" s="89">
        <v>0.0</v>
      </c>
      <c r="AE131" s="89">
        <v>0.0</v>
      </c>
      <c r="AF131" s="89">
        <v>0.0</v>
      </c>
      <c r="AG131" s="89">
        <v>0.0</v>
      </c>
      <c r="AH131" s="89">
        <v>0.0</v>
      </c>
      <c r="AI131" s="89">
        <v>0.0</v>
      </c>
      <c r="AJ131" s="89">
        <v>0.0</v>
      </c>
      <c r="AK131" s="90">
        <v>0.0</v>
      </c>
      <c r="AL131" s="85"/>
      <c r="AM131" s="85">
        <f t="shared" si="1"/>
        <v>0</v>
      </c>
      <c r="AN131" s="86" t="str">
        <f t="shared" si="2"/>
        <v/>
      </c>
      <c r="AO131" s="13"/>
    </row>
    <row r="132" ht="30.0" hidden="1" customHeight="1">
      <c r="A132" s="4" t="str">
        <f>IFERROR(VLOOKUP(C132,'Product List'!$A$2:$C198,2,FALSE),"")</f>
        <v/>
      </c>
      <c r="B132" s="5" t="str">
        <f>IFERROR(VLOOKUP(C132,'Product List'!$A$2:$C198,3,FALSE),"")</f>
        <v/>
      </c>
      <c r="C132" s="6"/>
      <c r="D132" s="5"/>
      <c r="E132" s="76">
        <f>IFERROR(__xludf.DUMMYFUNCTION("+E131+1"),117.0)</f>
        <v>117</v>
      </c>
      <c r="F132" s="77"/>
      <c r="G132" s="78">
        <v>0.0</v>
      </c>
      <c r="H132" s="78">
        <v>0.0</v>
      </c>
      <c r="I132" s="78">
        <f>IFERROR(__xludf.DUMMYFUNCTION("+G132-H132"),0.0)</f>
        <v>0</v>
      </c>
      <c r="J132" s="78">
        <v>0.0</v>
      </c>
      <c r="K132" s="78">
        <f>IFERROR(__xludf.DUMMYFUNCTION("+I132+J132"),0.0)</f>
        <v>0</v>
      </c>
      <c r="L132" s="79">
        <f>IFERROR(__xludf.DUMMYFUNCTION("+K132/$K$190"),0.0)</f>
        <v>0</v>
      </c>
      <c r="M132" s="78">
        <f>IFERROR(__xludf.DUMMYFUNCTION("+K132/$T$9"),0.0)</f>
        <v>0</v>
      </c>
      <c r="N132" s="80">
        <f>IFERROR(__xludf.DUMMYFUNCTION("+K132-SUM(O132:AL132)"),0.0)</f>
        <v>0</v>
      </c>
      <c r="O132" s="81">
        <v>0.0</v>
      </c>
      <c r="P132" s="89">
        <v>0.0</v>
      </c>
      <c r="Q132" s="89">
        <v>0.0</v>
      </c>
      <c r="R132" s="89">
        <v>0.0</v>
      </c>
      <c r="S132" s="89">
        <v>0.0</v>
      </c>
      <c r="T132" s="89">
        <v>0.0</v>
      </c>
      <c r="U132" s="89">
        <v>0.0</v>
      </c>
      <c r="V132" s="89">
        <v>0.0</v>
      </c>
      <c r="W132" s="89">
        <v>0.0</v>
      </c>
      <c r="X132" s="89">
        <v>0.0</v>
      </c>
      <c r="Y132" s="89">
        <v>0.0</v>
      </c>
      <c r="Z132" s="89">
        <v>0.0</v>
      </c>
      <c r="AA132" s="89">
        <v>0.0</v>
      </c>
      <c r="AB132" s="89">
        <v>0.0</v>
      </c>
      <c r="AC132" s="89">
        <v>0.0</v>
      </c>
      <c r="AD132" s="89">
        <v>0.0</v>
      </c>
      <c r="AE132" s="89">
        <v>0.0</v>
      </c>
      <c r="AF132" s="89">
        <v>0.0</v>
      </c>
      <c r="AG132" s="89">
        <v>0.0</v>
      </c>
      <c r="AH132" s="89">
        <v>0.0</v>
      </c>
      <c r="AI132" s="89">
        <v>0.0</v>
      </c>
      <c r="AJ132" s="89">
        <v>0.0</v>
      </c>
      <c r="AK132" s="90">
        <v>0.0</v>
      </c>
      <c r="AL132" s="85"/>
      <c r="AM132" s="85">
        <f t="shared" si="1"/>
        <v>0</v>
      </c>
      <c r="AN132" s="86" t="str">
        <f t="shared" si="2"/>
        <v/>
      </c>
      <c r="AO132" s="13"/>
    </row>
    <row r="133" ht="30.0" hidden="1" customHeight="1">
      <c r="A133" s="4" t="str">
        <f>IFERROR(VLOOKUP(C133,'Product List'!$A$2:$C198,2,FALSE),"")</f>
        <v/>
      </c>
      <c r="B133" s="5" t="str">
        <f>IFERROR(VLOOKUP(C133,'Product List'!$A$2:$C198,3,FALSE),"")</f>
        <v/>
      </c>
      <c r="C133" s="6"/>
      <c r="D133" s="5"/>
      <c r="E133" s="76">
        <f>IFERROR(__xludf.DUMMYFUNCTION("+E132+1"),118.0)</f>
        <v>118</v>
      </c>
      <c r="F133" s="77"/>
      <c r="G133" s="78">
        <v>0.0</v>
      </c>
      <c r="H133" s="78">
        <v>0.0</v>
      </c>
      <c r="I133" s="78">
        <f>IFERROR(__xludf.DUMMYFUNCTION("+G133-H133"),0.0)</f>
        <v>0</v>
      </c>
      <c r="J133" s="78">
        <v>0.0</v>
      </c>
      <c r="K133" s="78">
        <f>IFERROR(__xludf.DUMMYFUNCTION("+I133+J133"),0.0)</f>
        <v>0</v>
      </c>
      <c r="L133" s="79">
        <f>IFERROR(__xludf.DUMMYFUNCTION("+K133/$K$190"),0.0)</f>
        <v>0</v>
      </c>
      <c r="M133" s="78">
        <f>IFERROR(__xludf.DUMMYFUNCTION("+K133/$T$9"),0.0)</f>
        <v>0</v>
      </c>
      <c r="N133" s="80">
        <f>IFERROR(__xludf.DUMMYFUNCTION("+K133-SUM(O133:AL133)"),0.0)</f>
        <v>0</v>
      </c>
      <c r="O133" s="81">
        <v>0.0</v>
      </c>
      <c r="P133" s="89">
        <v>0.0</v>
      </c>
      <c r="Q133" s="89">
        <v>0.0</v>
      </c>
      <c r="R133" s="89">
        <v>0.0</v>
      </c>
      <c r="S133" s="89">
        <v>0.0</v>
      </c>
      <c r="T133" s="89">
        <v>0.0</v>
      </c>
      <c r="U133" s="89">
        <v>0.0</v>
      </c>
      <c r="V133" s="89">
        <v>0.0</v>
      </c>
      <c r="W133" s="89">
        <v>0.0</v>
      </c>
      <c r="X133" s="89">
        <v>0.0</v>
      </c>
      <c r="Y133" s="89">
        <v>0.0</v>
      </c>
      <c r="Z133" s="89">
        <v>0.0</v>
      </c>
      <c r="AA133" s="89">
        <v>0.0</v>
      </c>
      <c r="AB133" s="89">
        <v>0.0</v>
      </c>
      <c r="AC133" s="89">
        <v>0.0</v>
      </c>
      <c r="AD133" s="89">
        <v>0.0</v>
      </c>
      <c r="AE133" s="89">
        <v>0.0</v>
      </c>
      <c r="AF133" s="89">
        <v>0.0</v>
      </c>
      <c r="AG133" s="89">
        <v>0.0</v>
      </c>
      <c r="AH133" s="89">
        <v>0.0</v>
      </c>
      <c r="AI133" s="89">
        <v>0.0</v>
      </c>
      <c r="AJ133" s="89">
        <v>0.0</v>
      </c>
      <c r="AK133" s="90">
        <v>0.0</v>
      </c>
      <c r="AL133" s="85"/>
      <c r="AM133" s="85">
        <f t="shared" si="1"/>
        <v>0</v>
      </c>
      <c r="AN133" s="86" t="str">
        <f t="shared" si="2"/>
        <v/>
      </c>
      <c r="AO133" s="13"/>
    </row>
    <row r="134" ht="30.0" hidden="1" customHeight="1">
      <c r="A134" s="4" t="str">
        <f>IFERROR(VLOOKUP(C134,'Product List'!$A$2:$C198,2,FALSE),"")</f>
        <v/>
      </c>
      <c r="B134" s="5" t="str">
        <f>IFERROR(VLOOKUP(C134,'Product List'!$A$2:$C198,3,FALSE),"")</f>
        <v/>
      </c>
      <c r="C134" s="6"/>
      <c r="D134" s="5"/>
      <c r="E134" s="76">
        <f>IFERROR(__xludf.DUMMYFUNCTION("+E133+1"),119.0)</f>
        <v>119</v>
      </c>
      <c r="F134" s="77"/>
      <c r="G134" s="78">
        <v>0.0</v>
      </c>
      <c r="H134" s="78">
        <v>0.0</v>
      </c>
      <c r="I134" s="78">
        <f>IFERROR(__xludf.DUMMYFUNCTION("+G134-H134"),0.0)</f>
        <v>0</v>
      </c>
      <c r="J134" s="78">
        <v>0.0</v>
      </c>
      <c r="K134" s="78">
        <f>IFERROR(__xludf.DUMMYFUNCTION("+I134+J134"),0.0)</f>
        <v>0</v>
      </c>
      <c r="L134" s="79">
        <f>IFERROR(__xludf.DUMMYFUNCTION("+K134/$K$190"),0.0)</f>
        <v>0</v>
      </c>
      <c r="M134" s="78">
        <f>IFERROR(__xludf.DUMMYFUNCTION("+K134/$T$9"),0.0)</f>
        <v>0</v>
      </c>
      <c r="N134" s="80">
        <f>IFERROR(__xludf.DUMMYFUNCTION("+K134-SUM(O134:AL134)"),0.0)</f>
        <v>0</v>
      </c>
      <c r="O134" s="81">
        <v>0.0</v>
      </c>
      <c r="P134" s="89">
        <v>0.0</v>
      </c>
      <c r="Q134" s="89">
        <v>0.0</v>
      </c>
      <c r="R134" s="89">
        <v>0.0</v>
      </c>
      <c r="S134" s="89">
        <v>0.0</v>
      </c>
      <c r="T134" s="89">
        <v>0.0</v>
      </c>
      <c r="U134" s="89">
        <v>0.0</v>
      </c>
      <c r="V134" s="89">
        <v>0.0</v>
      </c>
      <c r="W134" s="89">
        <v>0.0</v>
      </c>
      <c r="X134" s="89">
        <v>0.0</v>
      </c>
      <c r="Y134" s="89">
        <v>0.0</v>
      </c>
      <c r="Z134" s="89">
        <v>0.0</v>
      </c>
      <c r="AA134" s="89">
        <v>0.0</v>
      </c>
      <c r="AB134" s="89">
        <v>0.0</v>
      </c>
      <c r="AC134" s="89">
        <v>0.0</v>
      </c>
      <c r="AD134" s="89">
        <v>0.0</v>
      </c>
      <c r="AE134" s="89">
        <v>0.0</v>
      </c>
      <c r="AF134" s="89">
        <v>0.0</v>
      </c>
      <c r="AG134" s="89">
        <v>0.0</v>
      </c>
      <c r="AH134" s="89">
        <v>0.0</v>
      </c>
      <c r="AI134" s="89">
        <v>0.0</v>
      </c>
      <c r="AJ134" s="89">
        <v>0.0</v>
      </c>
      <c r="AK134" s="90">
        <v>0.0</v>
      </c>
      <c r="AL134" s="85"/>
      <c r="AM134" s="85">
        <f t="shared" si="1"/>
        <v>0</v>
      </c>
      <c r="AN134" s="86" t="str">
        <f t="shared" si="2"/>
        <v/>
      </c>
      <c r="AO134" s="13"/>
    </row>
    <row r="135" ht="30.0" hidden="1" customHeight="1">
      <c r="A135" s="4" t="str">
        <f>IFERROR(VLOOKUP(C135,'Product List'!$A$2:$C198,2,FALSE),"")</f>
        <v/>
      </c>
      <c r="B135" s="5" t="str">
        <f>IFERROR(VLOOKUP(C135,'Product List'!$A$2:$C198,3,FALSE),"")</f>
        <v/>
      </c>
      <c r="C135" s="6"/>
      <c r="D135" s="5"/>
      <c r="E135" s="76">
        <f>IFERROR(__xludf.DUMMYFUNCTION("+E134+1"),120.0)</f>
        <v>120</v>
      </c>
      <c r="F135" s="77"/>
      <c r="G135" s="78">
        <v>0.0</v>
      </c>
      <c r="H135" s="78">
        <v>0.0</v>
      </c>
      <c r="I135" s="78">
        <f>IFERROR(__xludf.DUMMYFUNCTION("+G135-H135"),0.0)</f>
        <v>0</v>
      </c>
      <c r="J135" s="78">
        <v>0.0</v>
      </c>
      <c r="K135" s="78">
        <f>IFERROR(__xludf.DUMMYFUNCTION("+I135+J135"),0.0)</f>
        <v>0</v>
      </c>
      <c r="L135" s="79">
        <f>IFERROR(__xludf.DUMMYFUNCTION("+K135/$K$190"),0.0)</f>
        <v>0</v>
      </c>
      <c r="M135" s="78">
        <f>IFERROR(__xludf.DUMMYFUNCTION("+K135/$T$9"),0.0)</f>
        <v>0</v>
      </c>
      <c r="N135" s="80">
        <f>IFERROR(__xludf.DUMMYFUNCTION("+K135-SUM(O135:AL135)"),0.0)</f>
        <v>0</v>
      </c>
      <c r="O135" s="81">
        <v>0.0</v>
      </c>
      <c r="P135" s="89">
        <v>0.0</v>
      </c>
      <c r="Q135" s="89">
        <v>0.0</v>
      </c>
      <c r="R135" s="89">
        <v>0.0</v>
      </c>
      <c r="S135" s="89">
        <v>0.0</v>
      </c>
      <c r="T135" s="89">
        <v>0.0</v>
      </c>
      <c r="U135" s="89">
        <v>0.0</v>
      </c>
      <c r="V135" s="89">
        <v>0.0</v>
      </c>
      <c r="W135" s="89">
        <v>0.0</v>
      </c>
      <c r="X135" s="89">
        <v>0.0</v>
      </c>
      <c r="Y135" s="89">
        <v>0.0</v>
      </c>
      <c r="Z135" s="89">
        <v>0.0</v>
      </c>
      <c r="AA135" s="89">
        <v>0.0</v>
      </c>
      <c r="AB135" s="89">
        <v>0.0</v>
      </c>
      <c r="AC135" s="89">
        <v>0.0</v>
      </c>
      <c r="AD135" s="89">
        <v>0.0</v>
      </c>
      <c r="AE135" s="89">
        <v>0.0</v>
      </c>
      <c r="AF135" s="89">
        <v>0.0</v>
      </c>
      <c r="AG135" s="89">
        <v>0.0</v>
      </c>
      <c r="AH135" s="89">
        <v>0.0</v>
      </c>
      <c r="AI135" s="89">
        <v>0.0</v>
      </c>
      <c r="AJ135" s="89">
        <v>0.0</v>
      </c>
      <c r="AK135" s="90">
        <v>0.0</v>
      </c>
      <c r="AL135" s="85"/>
      <c r="AM135" s="85">
        <f t="shared" si="1"/>
        <v>0</v>
      </c>
      <c r="AN135" s="86" t="str">
        <f t="shared" si="2"/>
        <v/>
      </c>
      <c r="AO135" s="13"/>
    </row>
    <row r="136" ht="30.0" hidden="1" customHeight="1">
      <c r="A136" s="4" t="str">
        <f>IFERROR(VLOOKUP(C136,'Product List'!$A$2:$C198,2,FALSE),"")</f>
        <v/>
      </c>
      <c r="B136" s="5" t="str">
        <f>IFERROR(VLOOKUP(C136,'Product List'!$A$2:$C198,3,FALSE),"")</f>
        <v/>
      </c>
      <c r="C136" s="6"/>
      <c r="D136" s="5"/>
      <c r="E136" s="76">
        <f>IFERROR(__xludf.DUMMYFUNCTION("+E135+1"),121.0)</f>
        <v>121</v>
      </c>
      <c r="F136" s="77"/>
      <c r="G136" s="78">
        <v>0.0</v>
      </c>
      <c r="H136" s="78">
        <v>0.0</v>
      </c>
      <c r="I136" s="78">
        <f>IFERROR(__xludf.DUMMYFUNCTION("+G136-H136"),0.0)</f>
        <v>0</v>
      </c>
      <c r="J136" s="78">
        <v>0.0</v>
      </c>
      <c r="K136" s="78">
        <f>IFERROR(__xludf.DUMMYFUNCTION("+I136+J136"),0.0)</f>
        <v>0</v>
      </c>
      <c r="L136" s="79">
        <f>IFERROR(__xludf.DUMMYFUNCTION("+K136/$K$190"),0.0)</f>
        <v>0</v>
      </c>
      <c r="M136" s="78">
        <f>IFERROR(__xludf.DUMMYFUNCTION("+K136/$T$9"),0.0)</f>
        <v>0</v>
      </c>
      <c r="N136" s="80">
        <f>IFERROR(__xludf.DUMMYFUNCTION("+K136-SUM(O136:AL136)"),0.0)</f>
        <v>0</v>
      </c>
      <c r="O136" s="81">
        <v>0.0</v>
      </c>
      <c r="P136" s="89">
        <v>0.0</v>
      </c>
      <c r="Q136" s="89">
        <v>0.0</v>
      </c>
      <c r="R136" s="89">
        <v>0.0</v>
      </c>
      <c r="S136" s="89">
        <v>0.0</v>
      </c>
      <c r="T136" s="89">
        <v>0.0</v>
      </c>
      <c r="U136" s="89">
        <v>0.0</v>
      </c>
      <c r="V136" s="89">
        <v>0.0</v>
      </c>
      <c r="W136" s="89">
        <v>0.0</v>
      </c>
      <c r="X136" s="89">
        <v>0.0</v>
      </c>
      <c r="Y136" s="89">
        <v>0.0</v>
      </c>
      <c r="Z136" s="89">
        <v>0.0</v>
      </c>
      <c r="AA136" s="89">
        <v>0.0</v>
      </c>
      <c r="AB136" s="89">
        <v>0.0</v>
      </c>
      <c r="AC136" s="89">
        <v>0.0</v>
      </c>
      <c r="AD136" s="89">
        <v>0.0</v>
      </c>
      <c r="AE136" s="89">
        <v>0.0</v>
      </c>
      <c r="AF136" s="89">
        <v>0.0</v>
      </c>
      <c r="AG136" s="89">
        <v>0.0</v>
      </c>
      <c r="AH136" s="89">
        <v>0.0</v>
      </c>
      <c r="AI136" s="89">
        <v>0.0</v>
      </c>
      <c r="AJ136" s="89">
        <v>0.0</v>
      </c>
      <c r="AK136" s="90">
        <v>0.0</v>
      </c>
      <c r="AL136" s="85"/>
      <c r="AM136" s="85">
        <f t="shared" si="1"/>
        <v>0</v>
      </c>
      <c r="AN136" s="86" t="str">
        <f t="shared" si="2"/>
        <v/>
      </c>
      <c r="AO136" s="13"/>
    </row>
    <row r="137" ht="30.0" hidden="1" customHeight="1">
      <c r="A137" s="4" t="str">
        <f>IFERROR(VLOOKUP(C137,'Product List'!$A$2:$C198,2,FALSE),"")</f>
        <v/>
      </c>
      <c r="B137" s="5" t="str">
        <f>IFERROR(VLOOKUP(C137,'Product List'!$A$2:$C198,3,FALSE),"")</f>
        <v/>
      </c>
      <c r="C137" s="6"/>
      <c r="D137" s="5"/>
      <c r="E137" s="76">
        <f>IFERROR(__xludf.DUMMYFUNCTION("+E136+1"),122.0)</f>
        <v>122</v>
      </c>
      <c r="F137" s="77"/>
      <c r="G137" s="78">
        <v>0.0</v>
      </c>
      <c r="H137" s="78">
        <v>0.0</v>
      </c>
      <c r="I137" s="78">
        <f>IFERROR(__xludf.DUMMYFUNCTION("+G137-H137"),0.0)</f>
        <v>0</v>
      </c>
      <c r="J137" s="78">
        <v>0.0</v>
      </c>
      <c r="K137" s="78">
        <f>IFERROR(__xludf.DUMMYFUNCTION("+I137+J137"),0.0)</f>
        <v>0</v>
      </c>
      <c r="L137" s="79">
        <f>IFERROR(__xludf.DUMMYFUNCTION("+K137/$K$190"),0.0)</f>
        <v>0</v>
      </c>
      <c r="M137" s="78">
        <f>IFERROR(__xludf.DUMMYFUNCTION("+K137/$T$9"),0.0)</f>
        <v>0</v>
      </c>
      <c r="N137" s="80">
        <f>IFERROR(__xludf.DUMMYFUNCTION("+K137-SUM(O137:AL137)"),0.0)</f>
        <v>0</v>
      </c>
      <c r="O137" s="81">
        <v>0.0</v>
      </c>
      <c r="P137" s="89">
        <v>0.0</v>
      </c>
      <c r="Q137" s="89">
        <v>0.0</v>
      </c>
      <c r="R137" s="89">
        <v>0.0</v>
      </c>
      <c r="S137" s="89">
        <v>0.0</v>
      </c>
      <c r="T137" s="89">
        <v>0.0</v>
      </c>
      <c r="U137" s="89">
        <v>0.0</v>
      </c>
      <c r="V137" s="89">
        <v>0.0</v>
      </c>
      <c r="W137" s="89">
        <v>0.0</v>
      </c>
      <c r="X137" s="89">
        <v>0.0</v>
      </c>
      <c r="Y137" s="89">
        <v>0.0</v>
      </c>
      <c r="Z137" s="89">
        <v>0.0</v>
      </c>
      <c r="AA137" s="89">
        <v>0.0</v>
      </c>
      <c r="AB137" s="89">
        <v>0.0</v>
      </c>
      <c r="AC137" s="89">
        <v>0.0</v>
      </c>
      <c r="AD137" s="89">
        <v>0.0</v>
      </c>
      <c r="AE137" s="89">
        <v>0.0</v>
      </c>
      <c r="AF137" s="89">
        <v>0.0</v>
      </c>
      <c r="AG137" s="89">
        <v>0.0</v>
      </c>
      <c r="AH137" s="89">
        <v>0.0</v>
      </c>
      <c r="AI137" s="89">
        <v>0.0</v>
      </c>
      <c r="AJ137" s="89">
        <v>0.0</v>
      </c>
      <c r="AK137" s="90">
        <v>0.0</v>
      </c>
      <c r="AL137" s="85"/>
      <c r="AM137" s="85">
        <f t="shared" si="1"/>
        <v>0</v>
      </c>
      <c r="AN137" s="86" t="str">
        <f t="shared" si="2"/>
        <v/>
      </c>
      <c r="AO137" s="13"/>
    </row>
    <row r="138" ht="30.0" hidden="1" customHeight="1">
      <c r="A138" s="4" t="str">
        <f>IFERROR(VLOOKUP(C138,'Product List'!$A$2:$C198,2,FALSE),"")</f>
        <v/>
      </c>
      <c r="B138" s="5" t="str">
        <f>IFERROR(VLOOKUP(C138,'Product List'!$A$2:$C198,3,FALSE),"")</f>
        <v/>
      </c>
      <c r="C138" s="6"/>
      <c r="D138" s="5"/>
      <c r="E138" s="76">
        <f>IFERROR(__xludf.DUMMYFUNCTION("+E137+1"),123.0)</f>
        <v>123</v>
      </c>
      <c r="F138" s="77"/>
      <c r="G138" s="78">
        <v>0.0</v>
      </c>
      <c r="H138" s="78">
        <v>0.0</v>
      </c>
      <c r="I138" s="78">
        <f>IFERROR(__xludf.DUMMYFUNCTION("+G138-H138"),0.0)</f>
        <v>0</v>
      </c>
      <c r="J138" s="78">
        <v>0.0</v>
      </c>
      <c r="K138" s="78">
        <f>IFERROR(__xludf.DUMMYFUNCTION("+I138+J138"),0.0)</f>
        <v>0</v>
      </c>
      <c r="L138" s="79">
        <f>IFERROR(__xludf.DUMMYFUNCTION("+K138/$K$190"),0.0)</f>
        <v>0</v>
      </c>
      <c r="M138" s="78">
        <f>IFERROR(__xludf.DUMMYFUNCTION("+K138/$T$9"),0.0)</f>
        <v>0</v>
      </c>
      <c r="N138" s="80">
        <f>IFERROR(__xludf.DUMMYFUNCTION("+K138-SUM(O138:AL138)"),0.0)</f>
        <v>0</v>
      </c>
      <c r="O138" s="81">
        <v>0.0</v>
      </c>
      <c r="P138" s="89">
        <v>0.0</v>
      </c>
      <c r="Q138" s="89">
        <v>0.0</v>
      </c>
      <c r="R138" s="89">
        <v>0.0</v>
      </c>
      <c r="S138" s="89">
        <v>0.0</v>
      </c>
      <c r="T138" s="89">
        <v>0.0</v>
      </c>
      <c r="U138" s="89">
        <v>0.0</v>
      </c>
      <c r="V138" s="89">
        <v>0.0</v>
      </c>
      <c r="W138" s="89">
        <v>0.0</v>
      </c>
      <c r="X138" s="89">
        <v>0.0</v>
      </c>
      <c r="Y138" s="89">
        <v>0.0</v>
      </c>
      <c r="Z138" s="89">
        <v>0.0</v>
      </c>
      <c r="AA138" s="89">
        <v>0.0</v>
      </c>
      <c r="AB138" s="89">
        <v>0.0</v>
      </c>
      <c r="AC138" s="89">
        <v>0.0</v>
      </c>
      <c r="AD138" s="89">
        <v>0.0</v>
      </c>
      <c r="AE138" s="89">
        <v>0.0</v>
      </c>
      <c r="AF138" s="89">
        <v>0.0</v>
      </c>
      <c r="AG138" s="89">
        <v>0.0</v>
      </c>
      <c r="AH138" s="89">
        <v>0.0</v>
      </c>
      <c r="AI138" s="89">
        <v>0.0</v>
      </c>
      <c r="AJ138" s="89">
        <v>0.0</v>
      </c>
      <c r="AK138" s="90">
        <v>0.0</v>
      </c>
      <c r="AL138" s="85"/>
      <c r="AM138" s="85">
        <f t="shared" si="1"/>
        <v>0</v>
      </c>
      <c r="AN138" s="86" t="str">
        <f t="shared" si="2"/>
        <v/>
      </c>
      <c r="AO138" s="13"/>
    </row>
    <row r="139" ht="30.0" hidden="1" customHeight="1">
      <c r="A139" s="4" t="str">
        <f>IFERROR(VLOOKUP(C139,'Product List'!$A$2:$C198,2,FALSE),"")</f>
        <v/>
      </c>
      <c r="B139" s="5" t="str">
        <f>IFERROR(VLOOKUP(C139,'Product List'!$A$2:$C198,3,FALSE),"")</f>
        <v/>
      </c>
      <c r="C139" s="6"/>
      <c r="D139" s="5"/>
      <c r="E139" s="76">
        <f>IFERROR(__xludf.DUMMYFUNCTION("+E138+1"),124.0)</f>
        <v>124</v>
      </c>
      <c r="F139" s="77"/>
      <c r="G139" s="78">
        <v>0.0</v>
      </c>
      <c r="H139" s="78">
        <v>0.0</v>
      </c>
      <c r="I139" s="78">
        <f>IFERROR(__xludf.DUMMYFUNCTION("+G139-H139"),0.0)</f>
        <v>0</v>
      </c>
      <c r="J139" s="78">
        <v>0.0</v>
      </c>
      <c r="K139" s="78">
        <f>IFERROR(__xludf.DUMMYFUNCTION("+I139+J139"),0.0)</f>
        <v>0</v>
      </c>
      <c r="L139" s="79">
        <f>IFERROR(__xludf.DUMMYFUNCTION("+K139/$K$190"),0.0)</f>
        <v>0</v>
      </c>
      <c r="M139" s="78">
        <f>IFERROR(__xludf.DUMMYFUNCTION("+K139/$T$9"),0.0)</f>
        <v>0</v>
      </c>
      <c r="N139" s="80">
        <f>IFERROR(__xludf.DUMMYFUNCTION("+K139-SUM(O139:AL139)"),0.0)</f>
        <v>0</v>
      </c>
      <c r="O139" s="81">
        <v>0.0</v>
      </c>
      <c r="P139" s="89">
        <v>0.0</v>
      </c>
      <c r="Q139" s="89">
        <v>0.0</v>
      </c>
      <c r="R139" s="89">
        <v>0.0</v>
      </c>
      <c r="S139" s="89">
        <v>0.0</v>
      </c>
      <c r="T139" s="89">
        <v>0.0</v>
      </c>
      <c r="U139" s="89">
        <v>0.0</v>
      </c>
      <c r="V139" s="89">
        <v>0.0</v>
      </c>
      <c r="W139" s="89">
        <v>0.0</v>
      </c>
      <c r="X139" s="89">
        <v>0.0</v>
      </c>
      <c r="Y139" s="89">
        <v>0.0</v>
      </c>
      <c r="Z139" s="89">
        <v>0.0</v>
      </c>
      <c r="AA139" s="89">
        <v>0.0</v>
      </c>
      <c r="AB139" s="89">
        <v>0.0</v>
      </c>
      <c r="AC139" s="89">
        <v>0.0</v>
      </c>
      <c r="AD139" s="89">
        <v>0.0</v>
      </c>
      <c r="AE139" s="89">
        <v>0.0</v>
      </c>
      <c r="AF139" s="89">
        <v>0.0</v>
      </c>
      <c r="AG139" s="89">
        <v>0.0</v>
      </c>
      <c r="AH139" s="89">
        <v>0.0</v>
      </c>
      <c r="AI139" s="89">
        <v>0.0</v>
      </c>
      <c r="AJ139" s="89">
        <v>0.0</v>
      </c>
      <c r="AK139" s="90">
        <v>0.0</v>
      </c>
      <c r="AL139" s="85"/>
      <c r="AM139" s="85">
        <f t="shared" si="1"/>
        <v>0</v>
      </c>
      <c r="AN139" s="86" t="str">
        <f t="shared" si="2"/>
        <v/>
      </c>
      <c r="AO139" s="13"/>
    </row>
    <row r="140" ht="30.0" hidden="1" customHeight="1">
      <c r="A140" s="4" t="str">
        <f>IFERROR(VLOOKUP(C140,'Product List'!$A$2:$C198,2,FALSE),"")</f>
        <v/>
      </c>
      <c r="B140" s="5" t="str">
        <f>IFERROR(VLOOKUP(C140,'Product List'!$A$2:$C198,3,FALSE),"")</f>
        <v/>
      </c>
      <c r="C140" s="6"/>
      <c r="D140" s="5"/>
      <c r="E140" s="76">
        <f>IFERROR(__xludf.DUMMYFUNCTION("+E139+1"),125.0)</f>
        <v>125</v>
      </c>
      <c r="F140" s="77"/>
      <c r="G140" s="78">
        <v>0.0</v>
      </c>
      <c r="H140" s="78">
        <v>0.0</v>
      </c>
      <c r="I140" s="78">
        <f>IFERROR(__xludf.DUMMYFUNCTION("+G140-H140"),0.0)</f>
        <v>0</v>
      </c>
      <c r="J140" s="78">
        <v>0.0</v>
      </c>
      <c r="K140" s="78">
        <f>IFERROR(__xludf.DUMMYFUNCTION("+I140+J140"),0.0)</f>
        <v>0</v>
      </c>
      <c r="L140" s="79">
        <f>IFERROR(__xludf.DUMMYFUNCTION("+K140/$K$190"),0.0)</f>
        <v>0</v>
      </c>
      <c r="M140" s="78">
        <f>IFERROR(__xludf.DUMMYFUNCTION("+K140/$T$9"),0.0)</f>
        <v>0</v>
      </c>
      <c r="N140" s="80">
        <f>IFERROR(__xludf.DUMMYFUNCTION("+K140-SUM(O140:AL140)"),0.0)</f>
        <v>0</v>
      </c>
      <c r="O140" s="81">
        <v>0.0</v>
      </c>
      <c r="P140" s="89">
        <v>0.0</v>
      </c>
      <c r="Q140" s="89">
        <v>0.0</v>
      </c>
      <c r="R140" s="89">
        <v>0.0</v>
      </c>
      <c r="S140" s="89">
        <v>0.0</v>
      </c>
      <c r="T140" s="89">
        <v>0.0</v>
      </c>
      <c r="U140" s="89">
        <v>0.0</v>
      </c>
      <c r="V140" s="89">
        <v>0.0</v>
      </c>
      <c r="W140" s="89">
        <v>0.0</v>
      </c>
      <c r="X140" s="89">
        <v>0.0</v>
      </c>
      <c r="Y140" s="89">
        <v>0.0</v>
      </c>
      <c r="Z140" s="89">
        <v>0.0</v>
      </c>
      <c r="AA140" s="89">
        <v>0.0</v>
      </c>
      <c r="AB140" s="89">
        <v>0.0</v>
      </c>
      <c r="AC140" s="89">
        <v>0.0</v>
      </c>
      <c r="AD140" s="89">
        <v>0.0</v>
      </c>
      <c r="AE140" s="89">
        <v>0.0</v>
      </c>
      <c r="AF140" s="89">
        <v>0.0</v>
      </c>
      <c r="AG140" s="89">
        <v>0.0</v>
      </c>
      <c r="AH140" s="89">
        <v>0.0</v>
      </c>
      <c r="AI140" s="89">
        <v>0.0</v>
      </c>
      <c r="AJ140" s="89">
        <v>0.0</v>
      </c>
      <c r="AK140" s="90">
        <v>0.0</v>
      </c>
      <c r="AL140" s="85"/>
      <c r="AM140" s="85">
        <f t="shared" si="1"/>
        <v>0</v>
      </c>
      <c r="AN140" s="86" t="str">
        <f t="shared" si="2"/>
        <v/>
      </c>
      <c r="AO140" s="13"/>
    </row>
    <row r="141" ht="30.0" hidden="1" customHeight="1">
      <c r="A141" s="4" t="str">
        <f>IFERROR(VLOOKUP(C141,'Product List'!$A$2:$C198,2,FALSE),"")</f>
        <v/>
      </c>
      <c r="B141" s="5" t="str">
        <f>IFERROR(VLOOKUP(C141,'Product List'!$A$2:$C198,3,FALSE),"")</f>
        <v/>
      </c>
      <c r="C141" s="6"/>
      <c r="D141" s="5"/>
      <c r="E141" s="76">
        <f>IFERROR(__xludf.DUMMYFUNCTION("+E140+1"),126.0)</f>
        <v>126</v>
      </c>
      <c r="F141" s="77"/>
      <c r="G141" s="78">
        <v>0.0</v>
      </c>
      <c r="H141" s="78">
        <v>0.0</v>
      </c>
      <c r="I141" s="78">
        <f>IFERROR(__xludf.DUMMYFUNCTION("+G141-H141"),0.0)</f>
        <v>0</v>
      </c>
      <c r="J141" s="78">
        <v>0.0</v>
      </c>
      <c r="K141" s="78">
        <f>IFERROR(__xludf.DUMMYFUNCTION("+I141+J141"),0.0)</f>
        <v>0</v>
      </c>
      <c r="L141" s="79">
        <f>IFERROR(__xludf.DUMMYFUNCTION("+K141/$K$190"),0.0)</f>
        <v>0</v>
      </c>
      <c r="M141" s="78">
        <f>IFERROR(__xludf.DUMMYFUNCTION("+K141/$T$9"),0.0)</f>
        <v>0</v>
      </c>
      <c r="N141" s="80">
        <f>IFERROR(__xludf.DUMMYFUNCTION("+K141-SUM(O141:AL141)"),0.0)</f>
        <v>0</v>
      </c>
      <c r="O141" s="81">
        <v>0.0</v>
      </c>
      <c r="P141" s="89">
        <v>0.0</v>
      </c>
      <c r="Q141" s="89">
        <v>0.0</v>
      </c>
      <c r="R141" s="89">
        <v>0.0</v>
      </c>
      <c r="S141" s="89">
        <v>0.0</v>
      </c>
      <c r="T141" s="89">
        <v>0.0</v>
      </c>
      <c r="U141" s="89">
        <v>0.0</v>
      </c>
      <c r="V141" s="89">
        <v>0.0</v>
      </c>
      <c r="W141" s="89">
        <v>0.0</v>
      </c>
      <c r="X141" s="89">
        <v>0.0</v>
      </c>
      <c r="Y141" s="89">
        <v>0.0</v>
      </c>
      <c r="Z141" s="89">
        <v>0.0</v>
      </c>
      <c r="AA141" s="89">
        <v>0.0</v>
      </c>
      <c r="AB141" s="89">
        <v>0.0</v>
      </c>
      <c r="AC141" s="89">
        <v>0.0</v>
      </c>
      <c r="AD141" s="89">
        <v>0.0</v>
      </c>
      <c r="AE141" s="89">
        <v>0.0</v>
      </c>
      <c r="AF141" s="89">
        <v>0.0</v>
      </c>
      <c r="AG141" s="89">
        <v>0.0</v>
      </c>
      <c r="AH141" s="89">
        <v>0.0</v>
      </c>
      <c r="AI141" s="89">
        <v>0.0</v>
      </c>
      <c r="AJ141" s="89">
        <v>0.0</v>
      </c>
      <c r="AK141" s="90">
        <v>0.0</v>
      </c>
      <c r="AL141" s="85"/>
      <c r="AM141" s="85">
        <f t="shared" si="1"/>
        <v>0</v>
      </c>
      <c r="AN141" s="86" t="str">
        <f t="shared" si="2"/>
        <v/>
      </c>
      <c r="AO141" s="13"/>
    </row>
    <row r="142" ht="30.0" hidden="1" customHeight="1">
      <c r="A142" s="4" t="str">
        <f>IFERROR(VLOOKUP(C142,'Product List'!$A$2:$C198,2,FALSE),"")</f>
        <v/>
      </c>
      <c r="B142" s="5" t="str">
        <f>IFERROR(VLOOKUP(C142,'Product List'!$A$2:$C198,3,FALSE),"")</f>
        <v/>
      </c>
      <c r="C142" s="6"/>
      <c r="D142" s="5"/>
      <c r="E142" s="76">
        <f>IFERROR(__xludf.DUMMYFUNCTION("+E141+1"),127.0)</f>
        <v>127</v>
      </c>
      <c r="F142" s="77"/>
      <c r="G142" s="78">
        <v>0.0</v>
      </c>
      <c r="H142" s="78">
        <v>0.0</v>
      </c>
      <c r="I142" s="78">
        <f>IFERROR(__xludf.DUMMYFUNCTION("+G142-H142"),0.0)</f>
        <v>0</v>
      </c>
      <c r="J142" s="78">
        <v>0.0</v>
      </c>
      <c r="K142" s="78">
        <f>IFERROR(__xludf.DUMMYFUNCTION("+I142+J142"),0.0)</f>
        <v>0</v>
      </c>
      <c r="L142" s="79">
        <f>IFERROR(__xludf.DUMMYFUNCTION("+K142/$K$190"),0.0)</f>
        <v>0</v>
      </c>
      <c r="M142" s="78">
        <f>IFERROR(__xludf.DUMMYFUNCTION("+K142/$T$9"),0.0)</f>
        <v>0</v>
      </c>
      <c r="N142" s="80">
        <f>IFERROR(__xludf.DUMMYFUNCTION("+K142-SUM(O142:AL142)"),0.0)</f>
        <v>0</v>
      </c>
      <c r="O142" s="81">
        <v>0.0</v>
      </c>
      <c r="P142" s="89">
        <v>0.0</v>
      </c>
      <c r="Q142" s="89">
        <v>0.0</v>
      </c>
      <c r="R142" s="89">
        <v>0.0</v>
      </c>
      <c r="S142" s="89">
        <v>0.0</v>
      </c>
      <c r="T142" s="89">
        <v>0.0</v>
      </c>
      <c r="U142" s="89">
        <v>0.0</v>
      </c>
      <c r="V142" s="89">
        <v>0.0</v>
      </c>
      <c r="W142" s="89">
        <v>0.0</v>
      </c>
      <c r="X142" s="89">
        <v>0.0</v>
      </c>
      <c r="Y142" s="89">
        <v>0.0</v>
      </c>
      <c r="Z142" s="89">
        <v>0.0</v>
      </c>
      <c r="AA142" s="89">
        <v>0.0</v>
      </c>
      <c r="AB142" s="89">
        <v>0.0</v>
      </c>
      <c r="AC142" s="89">
        <v>0.0</v>
      </c>
      <c r="AD142" s="89">
        <v>0.0</v>
      </c>
      <c r="AE142" s="89">
        <v>0.0</v>
      </c>
      <c r="AF142" s="89">
        <v>0.0</v>
      </c>
      <c r="AG142" s="89">
        <v>0.0</v>
      </c>
      <c r="AH142" s="89">
        <v>0.0</v>
      </c>
      <c r="AI142" s="89">
        <v>0.0</v>
      </c>
      <c r="AJ142" s="89">
        <v>0.0</v>
      </c>
      <c r="AK142" s="90">
        <v>0.0</v>
      </c>
      <c r="AL142" s="85"/>
      <c r="AM142" s="85">
        <f t="shared" si="1"/>
        <v>0</v>
      </c>
      <c r="AN142" s="86" t="str">
        <f t="shared" si="2"/>
        <v/>
      </c>
      <c r="AO142" s="13"/>
    </row>
    <row r="143" ht="30.0" hidden="1" customHeight="1">
      <c r="A143" s="4" t="str">
        <f>IFERROR(VLOOKUP(C143,'Product List'!$A$2:$C198,2,FALSE),"")</f>
        <v/>
      </c>
      <c r="B143" s="5" t="str">
        <f>IFERROR(VLOOKUP(C143,'Product List'!$A$2:$C198,3,FALSE),"")</f>
        <v/>
      </c>
      <c r="C143" s="6"/>
      <c r="D143" s="5"/>
      <c r="E143" s="76">
        <f>IFERROR(__xludf.DUMMYFUNCTION("+E142+1"),128.0)</f>
        <v>128</v>
      </c>
      <c r="F143" s="77"/>
      <c r="G143" s="78">
        <v>0.0</v>
      </c>
      <c r="H143" s="78">
        <v>0.0</v>
      </c>
      <c r="I143" s="78">
        <f>IFERROR(__xludf.DUMMYFUNCTION("+G143-H143"),0.0)</f>
        <v>0</v>
      </c>
      <c r="J143" s="78">
        <v>0.0</v>
      </c>
      <c r="K143" s="78">
        <f>IFERROR(__xludf.DUMMYFUNCTION("+I143+J143"),0.0)</f>
        <v>0</v>
      </c>
      <c r="L143" s="79">
        <f>IFERROR(__xludf.DUMMYFUNCTION("+K143/$K$190"),0.0)</f>
        <v>0</v>
      </c>
      <c r="M143" s="78">
        <f>IFERROR(__xludf.DUMMYFUNCTION("+K143/$T$9"),0.0)</f>
        <v>0</v>
      </c>
      <c r="N143" s="80">
        <f>IFERROR(__xludf.DUMMYFUNCTION("+K143-SUM(O143:AL143)"),0.0)</f>
        <v>0</v>
      </c>
      <c r="O143" s="81">
        <v>0.0</v>
      </c>
      <c r="P143" s="89">
        <v>0.0</v>
      </c>
      <c r="Q143" s="89">
        <v>0.0</v>
      </c>
      <c r="R143" s="89">
        <v>0.0</v>
      </c>
      <c r="S143" s="89">
        <v>0.0</v>
      </c>
      <c r="T143" s="89">
        <v>0.0</v>
      </c>
      <c r="U143" s="89">
        <v>0.0</v>
      </c>
      <c r="V143" s="89">
        <v>0.0</v>
      </c>
      <c r="W143" s="89">
        <v>0.0</v>
      </c>
      <c r="X143" s="89">
        <v>0.0</v>
      </c>
      <c r="Y143" s="89">
        <v>0.0</v>
      </c>
      <c r="Z143" s="89">
        <v>0.0</v>
      </c>
      <c r="AA143" s="89">
        <v>0.0</v>
      </c>
      <c r="AB143" s="89">
        <v>0.0</v>
      </c>
      <c r="AC143" s="89">
        <v>0.0</v>
      </c>
      <c r="AD143" s="89">
        <v>0.0</v>
      </c>
      <c r="AE143" s="89">
        <v>0.0</v>
      </c>
      <c r="AF143" s="89">
        <v>0.0</v>
      </c>
      <c r="AG143" s="89">
        <v>0.0</v>
      </c>
      <c r="AH143" s="89">
        <v>0.0</v>
      </c>
      <c r="AI143" s="89">
        <v>0.0</v>
      </c>
      <c r="AJ143" s="89">
        <v>0.0</v>
      </c>
      <c r="AK143" s="90">
        <v>0.0</v>
      </c>
      <c r="AL143" s="85"/>
      <c r="AM143" s="85">
        <f t="shared" si="1"/>
        <v>0</v>
      </c>
      <c r="AN143" s="86" t="str">
        <f t="shared" si="2"/>
        <v/>
      </c>
      <c r="AO143" s="13"/>
    </row>
    <row r="144" ht="30.0" hidden="1" customHeight="1">
      <c r="A144" s="4" t="str">
        <f>IFERROR(VLOOKUP(C144,'Product List'!$A$2:$C198,2,FALSE),"")</f>
        <v/>
      </c>
      <c r="B144" s="5" t="str">
        <f>IFERROR(VLOOKUP(C144,'Product List'!$A$2:$C198,3,FALSE),"")</f>
        <v/>
      </c>
      <c r="C144" s="6"/>
      <c r="D144" s="5"/>
      <c r="E144" s="76">
        <f>IFERROR(__xludf.DUMMYFUNCTION("+E143+1"),129.0)</f>
        <v>129</v>
      </c>
      <c r="F144" s="77"/>
      <c r="G144" s="78">
        <v>0.0</v>
      </c>
      <c r="H144" s="78">
        <v>0.0</v>
      </c>
      <c r="I144" s="78">
        <f>IFERROR(__xludf.DUMMYFUNCTION("+G144-H144"),0.0)</f>
        <v>0</v>
      </c>
      <c r="J144" s="78">
        <v>0.0</v>
      </c>
      <c r="K144" s="78">
        <f>IFERROR(__xludf.DUMMYFUNCTION("+I144+J144"),0.0)</f>
        <v>0</v>
      </c>
      <c r="L144" s="79">
        <f>IFERROR(__xludf.DUMMYFUNCTION("+K144/$K$190"),0.0)</f>
        <v>0</v>
      </c>
      <c r="M144" s="78">
        <f>IFERROR(__xludf.DUMMYFUNCTION("+K144/$T$9"),0.0)</f>
        <v>0</v>
      </c>
      <c r="N144" s="80">
        <f>IFERROR(__xludf.DUMMYFUNCTION("+K144-SUM(O144:AL144)"),0.0)</f>
        <v>0</v>
      </c>
      <c r="O144" s="81">
        <v>0.0</v>
      </c>
      <c r="P144" s="89">
        <v>0.0</v>
      </c>
      <c r="Q144" s="89">
        <v>0.0</v>
      </c>
      <c r="R144" s="89">
        <v>0.0</v>
      </c>
      <c r="S144" s="89">
        <v>0.0</v>
      </c>
      <c r="T144" s="89">
        <v>0.0</v>
      </c>
      <c r="U144" s="89">
        <v>0.0</v>
      </c>
      <c r="V144" s="89">
        <v>0.0</v>
      </c>
      <c r="W144" s="89">
        <v>0.0</v>
      </c>
      <c r="X144" s="89">
        <v>0.0</v>
      </c>
      <c r="Y144" s="89">
        <v>0.0</v>
      </c>
      <c r="Z144" s="89">
        <v>0.0</v>
      </c>
      <c r="AA144" s="89">
        <v>0.0</v>
      </c>
      <c r="AB144" s="89">
        <v>0.0</v>
      </c>
      <c r="AC144" s="89">
        <v>0.0</v>
      </c>
      <c r="AD144" s="89">
        <v>0.0</v>
      </c>
      <c r="AE144" s="89">
        <v>0.0</v>
      </c>
      <c r="AF144" s="89">
        <v>0.0</v>
      </c>
      <c r="AG144" s="89">
        <v>0.0</v>
      </c>
      <c r="AH144" s="89">
        <v>0.0</v>
      </c>
      <c r="AI144" s="89">
        <v>0.0</v>
      </c>
      <c r="AJ144" s="89">
        <v>0.0</v>
      </c>
      <c r="AK144" s="90">
        <v>0.0</v>
      </c>
      <c r="AL144" s="85"/>
      <c r="AM144" s="85">
        <f t="shared" si="1"/>
        <v>0</v>
      </c>
      <c r="AN144" s="86" t="str">
        <f t="shared" si="2"/>
        <v/>
      </c>
      <c r="AO144" s="13"/>
    </row>
    <row r="145" ht="30.0" hidden="1" customHeight="1">
      <c r="A145" s="4" t="str">
        <f>IFERROR(VLOOKUP(C145,'Product List'!$A$2:$C198,2,FALSE),"")</f>
        <v/>
      </c>
      <c r="B145" s="5" t="str">
        <f>IFERROR(VLOOKUP(C145,'Product List'!$A$2:$C198,3,FALSE),"")</f>
        <v/>
      </c>
      <c r="C145" s="6"/>
      <c r="D145" s="5"/>
      <c r="E145" s="76">
        <f>IFERROR(__xludf.DUMMYFUNCTION("+E144+1"),130.0)</f>
        <v>130</v>
      </c>
      <c r="F145" s="77"/>
      <c r="G145" s="78">
        <v>0.0</v>
      </c>
      <c r="H145" s="78">
        <v>0.0</v>
      </c>
      <c r="I145" s="78">
        <f>IFERROR(__xludf.DUMMYFUNCTION("+G145-H145"),0.0)</f>
        <v>0</v>
      </c>
      <c r="J145" s="78">
        <v>0.0</v>
      </c>
      <c r="K145" s="78">
        <f>IFERROR(__xludf.DUMMYFUNCTION("+I145+J145"),0.0)</f>
        <v>0</v>
      </c>
      <c r="L145" s="79">
        <f>IFERROR(__xludf.DUMMYFUNCTION("+K145/$K$190"),0.0)</f>
        <v>0</v>
      </c>
      <c r="M145" s="78">
        <f>IFERROR(__xludf.DUMMYFUNCTION("+K145/$T$9"),0.0)</f>
        <v>0</v>
      </c>
      <c r="N145" s="80">
        <f>IFERROR(__xludf.DUMMYFUNCTION("+K145-SUM(O145:AL145)"),0.0)</f>
        <v>0</v>
      </c>
      <c r="O145" s="81">
        <v>0.0</v>
      </c>
      <c r="P145" s="89">
        <v>0.0</v>
      </c>
      <c r="Q145" s="89">
        <v>0.0</v>
      </c>
      <c r="R145" s="89">
        <v>0.0</v>
      </c>
      <c r="S145" s="89">
        <v>0.0</v>
      </c>
      <c r="T145" s="89">
        <v>0.0</v>
      </c>
      <c r="U145" s="89">
        <v>0.0</v>
      </c>
      <c r="V145" s="89">
        <v>0.0</v>
      </c>
      <c r="W145" s="89">
        <v>0.0</v>
      </c>
      <c r="X145" s="89">
        <v>0.0</v>
      </c>
      <c r="Y145" s="89">
        <v>0.0</v>
      </c>
      <c r="Z145" s="89">
        <v>0.0</v>
      </c>
      <c r="AA145" s="89">
        <v>0.0</v>
      </c>
      <c r="AB145" s="89">
        <v>0.0</v>
      </c>
      <c r="AC145" s="89">
        <v>0.0</v>
      </c>
      <c r="AD145" s="89">
        <v>0.0</v>
      </c>
      <c r="AE145" s="89">
        <v>0.0</v>
      </c>
      <c r="AF145" s="89">
        <v>0.0</v>
      </c>
      <c r="AG145" s="89">
        <v>0.0</v>
      </c>
      <c r="AH145" s="89">
        <v>0.0</v>
      </c>
      <c r="AI145" s="89">
        <v>0.0</v>
      </c>
      <c r="AJ145" s="89">
        <v>0.0</v>
      </c>
      <c r="AK145" s="90">
        <v>0.0</v>
      </c>
      <c r="AL145" s="85"/>
      <c r="AM145" s="85">
        <f t="shared" si="1"/>
        <v>0</v>
      </c>
      <c r="AN145" s="86" t="str">
        <f t="shared" si="2"/>
        <v/>
      </c>
      <c r="AO145" s="13"/>
    </row>
    <row r="146" ht="30.0" hidden="1" customHeight="1">
      <c r="A146" s="4" t="str">
        <f>IFERROR(VLOOKUP(C146,'Product List'!$A$2:$C198,2,FALSE),"")</f>
        <v/>
      </c>
      <c r="B146" s="5" t="str">
        <f>IFERROR(VLOOKUP(C146,'Product List'!$A$2:$C198,3,FALSE),"")</f>
        <v/>
      </c>
      <c r="C146" s="6"/>
      <c r="D146" s="5"/>
      <c r="E146" s="76">
        <f>IFERROR(__xludf.DUMMYFUNCTION("+E145+1"),131.0)</f>
        <v>131</v>
      </c>
      <c r="F146" s="77"/>
      <c r="G146" s="78">
        <v>0.0</v>
      </c>
      <c r="H146" s="78">
        <v>0.0</v>
      </c>
      <c r="I146" s="78">
        <f>IFERROR(__xludf.DUMMYFUNCTION("+G146-H146"),0.0)</f>
        <v>0</v>
      </c>
      <c r="J146" s="78">
        <v>0.0</v>
      </c>
      <c r="K146" s="78">
        <f>IFERROR(__xludf.DUMMYFUNCTION("+I146+J146"),0.0)</f>
        <v>0</v>
      </c>
      <c r="L146" s="79">
        <f>IFERROR(__xludf.DUMMYFUNCTION("+K146/$K$190"),0.0)</f>
        <v>0</v>
      </c>
      <c r="M146" s="78">
        <f>IFERROR(__xludf.DUMMYFUNCTION("+K146/$T$9"),0.0)</f>
        <v>0</v>
      </c>
      <c r="N146" s="80">
        <f>IFERROR(__xludf.DUMMYFUNCTION("+K146-SUM(O146:AL146)"),0.0)</f>
        <v>0</v>
      </c>
      <c r="O146" s="81">
        <v>0.0</v>
      </c>
      <c r="P146" s="89">
        <v>0.0</v>
      </c>
      <c r="Q146" s="89">
        <v>0.0</v>
      </c>
      <c r="R146" s="89">
        <v>0.0</v>
      </c>
      <c r="S146" s="89">
        <v>0.0</v>
      </c>
      <c r="T146" s="89">
        <v>0.0</v>
      </c>
      <c r="U146" s="89">
        <v>0.0</v>
      </c>
      <c r="V146" s="89">
        <v>0.0</v>
      </c>
      <c r="W146" s="89">
        <v>0.0</v>
      </c>
      <c r="X146" s="89">
        <v>0.0</v>
      </c>
      <c r="Y146" s="89">
        <v>0.0</v>
      </c>
      <c r="Z146" s="89">
        <v>0.0</v>
      </c>
      <c r="AA146" s="89">
        <v>0.0</v>
      </c>
      <c r="AB146" s="89">
        <v>0.0</v>
      </c>
      <c r="AC146" s="89">
        <v>0.0</v>
      </c>
      <c r="AD146" s="89">
        <v>0.0</v>
      </c>
      <c r="AE146" s="89">
        <v>0.0</v>
      </c>
      <c r="AF146" s="89">
        <v>0.0</v>
      </c>
      <c r="AG146" s="89">
        <v>0.0</v>
      </c>
      <c r="AH146" s="89">
        <v>0.0</v>
      </c>
      <c r="AI146" s="89">
        <v>0.0</v>
      </c>
      <c r="AJ146" s="89">
        <v>0.0</v>
      </c>
      <c r="AK146" s="90">
        <v>0.0</v>
      </c>
      <c r="AL146" s="85"/>
      <c r="AM146" s="85">
        <f t="shared" si="1"/>
        <v>0</v>
      </c>
      <c r="AN146" s="86" t="str">
        <f t="shared" si="2"/>
        <v/>
      </c>
      <c r="AO146" s="13"/>
    </row>
    <row r="147" ht="30.0" hidden="1" customHeight="1">
      <c r="A147" s="4" t="str">
        <f>IFERROR(VLOOKUP(C147,'Product List'!$A$2:$C198,2,FALSE),"")</f>
        <v/>
      </c>
      <c r="B147" s="5" t="str">
        <f>IFERROR(VLOOKUP(C147,'Product List'!$A$2:$C198,3,FALSE),"")</f>
        <v/>
      </c>
      <c r="C147" s="6"/>
      <c r="D147" s="5"/>
      <c r="E147" s="76">
        <f>IFERROR(__xludf.DUMMYFUNCTION("+E146+1"),132.0)</f>
        <v>132</v>
      </c>
      <c r="F147" s="77"/>
      <c r="G147" s="78">
        <v>0.0</v>
      </c>
      <c r="H147" s="78">
        <v>0.0</v>
      </c>
      <c r="I147" s="78">
        <f>IFERROR(__xludf.DUMMYFUNCTION("+G147-H147"),0.0)</f>
        <v>0</v>
      </c>
      <c r="J147" s="78">
        <v>0.0</v>
      </c>
      <c r="K147" s="78">
        <f>IFERROR(__xludf.DUMMYFUNCTION("+I147+J147"),0.0)</f>
        <v>0</v>
      </c>
      <c r="L147" s="79">
        <f>IFERROR(__xludf.DUMMYFUNCTION("+K147/$K$190"),0.0)</f>
        <v>0</v>
      </c>
      <c r="M147" s="78">
        <f>IFERROR(__xludf.DUMMYFUNCTION("+K147/$T$9"),0.0)</f>
        <v>0</v>
      </c>
      <c r="N147" s="80">
        <f>IFERROR(__xludf.DUMMYFUNCTION("+K147-SUM(O147:AL147)"),0.0)</f>
        <v>0</v>
      </c>
      <c r="O147" s="81">
        <v>0.0</v>
      </c>
      <c r="P147" s="89">
        <v>0.0</v>
      </c>
      <c r="Q147" s="89">
        <v>0.0</v>
      </c>
      <c r="R147" s="89">
        <v>0.0</v>
      </c>
      <c r="S147" s="89">
        <v>0.0</v>
      </c>
      <c r="T147" s="89">
        <v>0.0</v>
      </c>
      <c r="U147" s="89">
        <v>0.0</v>
      </c>
      <c r="V147" s="89">
        <v>0.0</v>
      </c>
      <c r="W147" s="89">
        <v>0.0</v>
      </c>
      <c r="X147" s="89">
        <v>0.0</v>
      </c>
      <c r="Y147" s="89">
        <v>0.0</v>
      </c>
      <c r="Z147" s="89">
        <v>0.0</v>
      </c>
      <c r="AA147" s="89">
        <v>0.0</v>
      </c>
      <c r="AB147" s="89">
        <v>0.0</v>
      </c>
      <c r="AC147" s="89">
        <v>0.0</v>
      </c>
      <c r="AD147" s="89">
        <v>0.0</v>
      </c>
      <c r="AE147" s="89">
        <v>0.0</v>
      </c>
      <c r="AF147" s="89">
        <v>0.0</v>
      </c>
      <c r="AG147" s="89">
        <v>0.0</v>
      </c>
      <c r="AH147" s="89">
        <v>0.0</v>
      </c>
      <c r="AI147" s="89">
        <v>0.0</v>
      </c>
      <c r="AJ147" s="89">
        <v>0.0</v>
      </c>
      <c r="AK147" s="90">
        <v>0.0</v>
      </c>
      <c r="AL147" s="85"/>
      <c r="AM147" s="85">
        <f t="shared" si="1"/>
        <v>0</v>
      </c>
      <c r="AN147" s="86" t="str">
        <f t="shared" si="2"/>
        <v/>
      </c>
      <c r="AO147" s="13"/>
    </row>
    <row r="148" ht="30.0" hidden="1" customHeight="1">
      <c r="A148" s="4" t="str">
        <f>IFERROR(VLOOKUP(C148,'Product List'!$A$2:$C198,2,FALSE),"")</f>
        <v/>
      </c>
      <c r="B148" s="5" t="str">
        <f>IFERROR(VLOOKUP(C148,'Product List'!$A$2:$C198,3,FALSE),"")</f>
        <v/>
      </c>
      <c r="C148" s="6"/>
      <c r="D148" s="5"/>
      <c r="E148" s="76">
        <f>IFERROR(__xludf.DUMMYFUNCTION("+E147+1"),133.0)</f>
        <v>133</v>
      </c>
      <c r="F148" s="77"/>
      <c r="G148" s="78">
        <v>0.0</v>
      </c>
      <c r="H148" s="78">
        <v>0.0</v>
      </c>
      <c r="I148" s="78">
        <f>IFERROR(__xludf.DUMMYFUNCTION("+G148-H148"),0.0)</f>
        <v>0</v>
      </c>
      <c r="J148" s="78">
        <v>0.0</v>
      </c>
      <c r="K148" s="78">
        <f>IFERROR(__xludf.DUMMYFUNCTION("+I148+J148"),0.0)</f>
        <v>0</v>
      </c>
      <c r="L148" s="79">
        <f>IFERROR(__xludf.DUMMYFUNCTION("+K148/$K$190"),0.0)</f>
        <v>0</v>
      </c>
      <c r="M148" s="78">
        <f>IFERROR(__xludf.DUMMYFUNCTION("+K148/$T$9"),0.0)</f>
        <v>0</v>
      </c>
      <c r="N148" s="80">
        <f>IFERROR(__xludf.DUMMYFUNCTION("+K148-SUM(O148:AL148)"),0.0)</f>
        <v>0</v>
      </c>
      <c r="O148" s="81">
        <v>0.0</v>
      </c>
      <c r="P148" s="89">
        <v>0.0</v>
      </c>
      <c r="Q148" s="89">
        <v>0.0</v>
      </c>
      <c r="R148" s="89">
        <v>0.0</v>
      </c>
      <c r="S148" s="89">
        <v>0.0</v>
      </c>
      <c r="T148" s="89">
        <v>0.0</v>
      </c>
      <c r="U148" s="89">
        <v>0.0</v>
      </c>
      <c r="V148" s="89">
        <v>0.0</v>
      </c>
      <c r="W148" s="89">
        <v>0.0</v>
      </c>
      <c r="X148" s="89">
        <v>0.0</v>
      </c>
      <c r="Y148" s="89">
        <v>0.0</v>
      </c>
      <c r="Z148" s="89">
        <v>0.0</v>
      </c>
      <c r="AA148" s="89">
        <v>0.0</v>
      </c>
      <c r="AB148" s="89">
        <v>0.0</v>
      </c>
      <c r="AC148" s="89">
        <v>0.0</v>
      </c>
      <c r="AD148" s="89">
        <v>0.0</v>
      </c>
      <c r="AE148" s="89">
        <v>0.0</v>
      </c>
      <c r="AF148" s="89">
        <v>0.0</v>
      </c>
      <c r="AG148" s="89">
        <v>0.0</v>
      </c>
      <c r="AH148" s="89">
        <v>0.0</v>
      </c>
      <c r="AI148" s="89">
        <v>0.0</v>
      </c>
      <c r="AJ148" s="89">
        <v>0.0</v>
      </c>
      <c r="AK148" s="90">
        <v>0.0</v>
      </c>
      <c r="AL148" s="85"/>
      <c r="AM148" s="85">
        <f t="shared" si="1"/>
        <v>0</v>
      </c>
      <c r="AN148" s="86" t="str">
        <f t="shared" si="2"/>
        <v/>
      </c>
      <c r="AO148" s="13"/>
    </row>
    <row r="149" ht="30.0" hidden="1" customHeight="1">
      <c r="A149" s="4" t="str">
        <f>IFERROR(VLOOKUP(C149,'Product List'!$A$2:$C198,2,FALSE),"")</f>
        <v/>
      </c>
      <c r="B149" s="5" t="str">
        <f>IFERROR(VLOOKUP(C149,'Product List'!$A$2:$C198,3,FALSE),"")</f>
        <v/>
      </c>
      <c r="C149" s="6"/>
      <c r="D149" s="5"/>
      <c r="E149" s="76">
        <f>IFERROR(__xludf.DUMMYFUNCTION("+E148+1"),134.0)</f>
        <v>134</v>
      </c>
      <c r="F149" s="77"/>
      <c r="G149" s="78">
        <v>0.0</v>
      </c>
      <c r="H149" s="78">
        <v>0.0</v>
      </c>
      <c r="I149" s="78">
        <f>IFERROR(__xludf.DUMMYFUNCTION("+G149-H149"),0.0)</f>
        <v>0</v>
      </c>
      <c r="J149" s="78">
        <v>0.0</v>
      </c>
      <c r="K149" s="78">
        <f>IFERROR(__xludf.DUMMYFUNCTION("+I149+J149"),0.0)</f>
        <v>0</v>
      </c>
      <c r="L149" s="79">
        <f>IFERROR(__xludf.DUMMYFUNCTION("+K149/$K$190"),0.0)</f>
        <v>0</v>
      </c>
      <c r="M149" s="78">
        <f>IFERROR(__xludf.DUMMYFUNCTION("+K149/$T$9"),0.0)</f>
        <v>0</v>
      </c>
      <c r="N149" s="80">
        <f>IFERROR(__xludf.DUMMYFUNCTION("+K149-SUM(O149:AL149)"),0.0)</f>
        <v>0</v>
      </c>
      <c r="O149" s="81">
        <v>0.0</v>
      </c>
      <c r="P149" s="89">
        <v>0.0</v>
      </c>
      <c r="Q149" s="89">
        <v>0.0</v>
      </c>
      <c r="R149" s="89">
        <v>0.0</v>
      </c>
      <c r="S149" s="89">
        <v>0.0</v>
      </c>
      <c r="T149" s="89">
        <v>0.0</v>
      </c>
      <c r="U149" s="89">
        <v>0.0</v>
      </c>
      <c r="V149" s="89">
        <v>0.0</v>
      </c>
      <c r="W149" s="89">
        <v>0.0</v>
      </c>
      <c r="X149" s="89">
        <v>0.0</v>
      </c>
      <c r="Y149" s="89">
        <v>0.0</v>
      </c>
      <c r="Z149" s="89">
        <v>0.0</v>
      </c>
      <c r="AA149" s="89">
        <v>0.0</v>
      </c>
      <c r="AB149" s="89">
        <v>0.0</v>
      </c>
      <c r="AC149" s="89">
        <v>0.0</v>
      </c>
      <c r="AD149" s="89">
        <v>0.0</v>
      </c>
      <c r="AE149" s="89">
        <v>0.0</v>
      </c>
      <c r="AF149" s="89">
        <v>0.0</v>
      </c>
      <c r="AG149" s="89">
        <v>0.0</v>
      </c>
      <c r="AH149" s="89">
        <v>0.0</v>
      </c>
      <c r="AI149" s="89">
        <v>0.0</v>
      </c>
      <c r="AJ149" s="89">
        <v>0.0</v>
      </c>
      <c r="AK149" s="90">
        <v>0.0</v>
      </c>
      <c r="AL149" s="85"/>
      <c r="AM149" s="85">
        <f t="shared" si="1"/>
        <v>0</v>
      </c>
      <c r="AN149" s="86" t="str">
        <f t="shared" si="2"/>
        <v/>
      </c>
      <c r="AO149" s="13"/>
    </row>
    <row r="150" ht="30.0" hidden="1" customHeight="1">
      <c r="A150" s="4" t="str">
        <f>IFERROR(VLOOKUP(C150,'Product List'!$A$2:$C198,2,FALSE),"")</f>
        <v/>
      </c>
      <c r="B150" s="5" t="str">
        <f>IFERROR(VLOOKUP(C150,'Product List'!$A$2:$C198,3,FALSE),"")</f>
        <v/>
      </c>
      <c r="C150" s="6"/>
      <c r="D150" s="5"/>
      <c r="E150" s="76">
        <f>IFERROR(__xludf.DUMMYFUNCTION("+E149+1"),135.0)</f>
        <v>135</v>
      </c>
      <c r="F150" s="77"/>
      <c r="G150" s="78">
        <v>0.0</v>
      </c>
      <c r="H150" s="78">
        <v>0.0</v>
      </c>
      <c r="I150" s="78">
        <f>IFERROR(__xludf.DUMMYFUNCTION("+G150-H150"),0.0)</f>
        <v>0</v>
      </c>
      <c r="J150" s="78">
        <v>0.0</v>
      </c>
      <c r="K150" s="78">
        <f>IFERROR(__xludf.DUMMYFUNCTION("+I150+J150"),0.0)</f>
        <v>0</v>
      </c>
      <c r="L150" s="79">
        <f>IFERROR(__xludf.DUMMYFUNCTION("+K150/$K$190"),0.0)</f>
        <v>0</v>
      </c>
      <c r="M150" s="78">
        <f>IFERROR(__xludf.DUMMYFUNCTION("+K150/$T$9"),0.0)</f>
        <v>0</v>
      </c>
      <c r="N150" s="80">
        <f>IFERROR(__xludf.DUMMYFUNCTION("+K150-SUM(O150:AL150)"),0.0)</f>
        <v>0</v>
      </c>
      <c r="O150" s="81">
        <v>0.0</v>
      </c>
      <c r="P150" s="89">
        <v>0.0</v>
      </c>
      <c r="Q150" s="89">
        <v>0.0</v>
      </c>
      <c r="R150" s="89">
        <v>0.0</v>
      </c>
      <c r="S150" s="89">
        <v>0.0</v>
      </c>
      <c r="T150" s="89">
        <v>0.0</v>
      </c>
      <c r="U150" s="89">
        <v>0.0</v>
      </c>
      <c r="V150" s="89">
        <v>0.0</v>
      </c>
      <c r="W150" s="89">
        <v>0.0</v>
      </c>
      <c r="X150" s="89">
        <v>0.0</v>
      </c>
      <c r="Y150" s="89">
        <v>0.0</v>
      </c>
      <c r="Z150" s="89">
        <v>0.0</v>
      </c>
      <c r="AA150" s="89">
        <v>0.0</v>
      </c>
      <c r="AB150" s="89">
        <v>0.0</v>
      </c>
      <c r="AC150" s="89">
        <v>0.0</v>
      </c>
      <c r="AD150" s="89">
        <v>0.0</v>
      </c>
      <c r="AE150" s="89">
        <v>0.0</v>
      </c>
      <c r="AF150" s="89">
        <v>0.0</v>
      </c>
      <c r="AG150" s="89">
        <v>0.0</v>
      </c>
      <c r="AH150" s="89">
        <v>0.0</v>
      </c>
      <c r="AI150" s="89">
        <v>0.0</v>
      </c>
      <c r="AJ150" s="89">
        <v>0.0</v>
      </c>
      <c r="AK150" s="90">
        <v>0.0</v>
      </c>
      <c r="AL150" s="85"/>
      <c r="AM150" s="85">
        <f t="shared" si="1"/>
        <v>0</v>
      </c>
      <c r="AN150" s="86" t="str">
        <f t="shared" si="2"/>
        <v/>
      </c>
      <c r="AO150" s="13"/>
    </row>
    <row r="151" ht="30.0" hidden="1" customHeight="1">
      <c r="A151" s="4" t="str">
        <f>IFERROR(VLOOKUP(C151,'Product List'!$A$2:$C198,2,FALSE),"")</f>
        <v/>
      </c>
      <c r="B151" s="5" t="str">
        <f>IFERROR(VLOOKUP(C151,'Product List'!$A$2:$C198,3,FALSE),"")</f>
        <v/>
      </c>
      <c r="C151" s="6"/>
      <c r="D151" s="5"/>
      <c r="E151" s="76">
        <f>IFERROR(__xludf.DUMMYFUNCTION("+E150+1"),136.0)</f>
        <v>136</v>
      </c>
      <c r="F151" s="77"/>
      <c r="G151" s="78">
        <v>0.0</v>
      </c>
      <c r="H151" s="78">
        <v>0.0</v>
      </c>
      <c r="I151" s="78">
        <f>IFERROR(__xludf.DUMMYFUNCTION("+G151-H151"),0.0)</f>
        <v>0</v>
      </c>
      <c r="J151" s="78">
        <v>0.0</v>
      </c>
      <c r="K151" s="78">
        <f>IFERROR(__xludf.DUMMYFUNCTION("+I151+J151"),0.0)</f>
        <v>0</v>
      </c>
      <c r="L151" s="79">
        <f>IFERROR(__xludf.DUMMYFUNCTION("+K151/$K$190"),0.0)</f>
        <v>0</v>
      </c>
      <c r="M151" s="78">
        <f>IFERROR(__xludf.DUMMYFUNCTION("+K151/$T$9"),0.0)</f>
        <v>0</v>
      </c>
      <c r="N151" s="80">
        <f>IFERROR(__xludf.DUMMYFUNCTION("+K151-SUM(O151:AL151)"),0.0)</f>
        <v>0</v>
      </c>
      <c r="O151" s="81">
        <v>0.0</v>
      </c>
      <c r="P151" s="89">
        <v>0.0</v>
      </c>
      <c r="Q151" s="89">
        <v>0.0</v>
      </c>
      <c r="R151" s="89">
        <v>0.0</v>
      </c>
      <c r="S151" s="89">
        <v>0.0</v>
      </c>
      <c r="T151" s="89">
        <v>0.0</v>
      </c>
      <c r="U151" s="89">
        <v>0.0</v>
      </c>
      <c r="V151" s="89">
        <v>0.0</v>
      </c>
      <c r="W151" s="89">
        <v>0.0</v>
      </c>
      <c r="X151" s="89">
        <v>0.0</v>
      </c>
      <c r="Y151" s="89">
        <v>0.0</v>
      </c>
      <c r="Z151" s="89">
        <v>0.0</v>
      </c>
      <c r="AA151" s="89">
        <v>0.0</v>
      </c>
      <c r="AB151" s="89">
        <v>0.0</v>
      </c>
      <c r="AC151" s="89">
        <v>0.0</v>
      </c>
      <c r="AD151" s="89">
        <v>0.0</v>
      </c>
      <c r="AE151" s="89">
        <v>0.0</v>
      </c>
      <c r="AF151" s="89">
        <v>0.0</v>
      </c>
      <c r="AG151" s="89">
        <v>0.0</v>
      </c>
      <c r="AH151" s="89">
        <v>0.0</v>
      </c>
      <c r="AI151" s="89">
        <v>0.0</v>
      </c>
      <c r="AJ151" s="89">
        <v>0.0</v>
      </c>
      <c r="AK151" s="90">
        <v>0.0</v>
      </c>
      <c r="AL151" s="85"/>
      <c r="AM151" s="85">
        <f t="shared" si="1"/>
        <v>0</v>
      </c>
      <c r="AN151" s="86" t="str">
        <f t="shared" si="2"/>
        <v/>
      </c>
      <c r="AO151" s="13"/>
    </row>
    <row r="152" ht="30.0" hidden="1" customHeight="1">
      <c r="A152" s="4" t="str">
        <f>IFERROR(VLOOKUP(C152,'Product List'!$A$2:$C198,2,FALSE),"")</f>
        <v/>
      </c>
      <c r="B152" s="5" t="str">
        <f>IFERROR(VLOOKUP(C152,'Product List'!$A$2:$C198,3,FALSE),"")</f>
        <v/>
      </c>
      <c r="C152" s="6"/>
      <c r="D152" s="5"/>
      <c r="E152" s="76">
        <f>IFERROR(__xludf.DUMMYFUNCTION("+E151+1"),137.0)</f>
        <v>137</v>
      </c>
      <c r="F152" s="77"/>
      <c r="G152" s="78">
        <v>0.0</v>
      </c>
      <c r="H152" s="78">
        <v>0.0</v>
      </c>
      <c r="I152" s="78">
        <f>IFERROR(__xludf.DUMMYFUNCTION("+G152-H152"),0.0)</f>
        <v>0</v>
      </c>
      <c r="J152" s="78">
        <v>0.0</v>
      </c>
      <c r="K152" s="78">
        <f>IFERROR(__xludf.DUMMYFUNCTION("+I152+J152"),0.0)</f>
        <v>0</v>
      </c>
      <c r="L152" s="79">
        <f>IFERROR(__xludf.DUMMYFUNCTION("+K152/$K$190"),0.0)</f>
        <v>0</v>
      </c>
      <c r="M152" s="78">
        <f>IFERROR(__xludf.DUMMYFUNCTION("+K152/$T$9"),0.0)</f>
        <v>0</v>
      </c>
      <c r="N152" s="80">
        <f>IFERROR(__xludf.DUMMYFUNCTION("+K152-SUM(O152:AL152)"),0.0)</f>
        <v>0</v>
      </c>
      <c r="O152" s="81">
        <v>0.0</v>
      </c>
      <c r="P152" s="89">
        <v>0.0</v>
      </c>
      <c r="Q152" s="89">
        <v>0.0</v>
      </c>
      <c r="R152" s="89">
        <v>0.0</v>
      </c>
      <c r="S152" s="89">
        <v>0.0</v>
      </c>
      <c r="T152" s="89">
        <v>0.0</v>
      </c>
      <c r="U152" s="89">
        <v>0.0</v>
      </c>
      <c r="V152" s="89">
        <v>0.0</v>
      </c>
      <c r="W152" s="89">
        <v>0.0</v>
      </c>
      <c r="X152" s="89">
        <v>0.0</v>
      </c>
      <c r="Y152" s="89">
        <v>0.0</v>
      </c>
      <c r="Z152" s="89">
        <v>0.0</v>
      </c>
      <c r="AA152" s="89">
        <v>0.0</v>
      </c>
      <c r="AB152" s="89">
        <v>0.0</v>
      </c>
      <c r="AC152" s="89">
        <v>0.0</v>
      </c>
      <c r="AD152" s="89">
        <v>0.0</v>
      </c>
      <c r="AE152" s="89">
        <v>0.0</v>
      </c>
      <c r="AF152" s="89">
        <v>0.0</v>
      </c>
      <c r="AG152" s="89">
        <v>0.0</v>
      </c>
      <c r="AH152" s="89">
        <v>0.0</v>
      </c>
      <c r="AI152" s="89">
        <v>0.0</v>
      </c>
      <c r="AJ152" s="89">
        <v>0.0</v>
      </c>
      <c r="AK152" s="90">
        <v>0.0</v>
      </c>
      <c r="AL152" s="85"/>
      <c r="AM152" s="85">
        <f t="shared" si="1"/>
        <v>0</v>
      </c>
      <c r="AN152" s="86" t="str">
        <f t="shared" si="2"/>
        <v/>
      </c>
      <c r="AO152" s="13"/>
    </row>
    <row r="153" ht="30.0" hidden="1" customHeight="1">
      <c r="A153" s="4" t="str">
        <f>IFERROR(VLOOKUP(C153,'Product List'!$A$2:$C198,2,FALSE),"")</f>
        <v/>
      </c>
      <c r="B153" s="5" t="str">
        <f>IFERROR(VLOOKUP(C153,'Product List'!$A$2:$C198,3,FALSE),"")</f>
        <v/>
      </c>
      <c r="C153" s="6"/>
      <c r="D153" s="5"/>
      <c r="E153" s="76">
        <f>IFERROR(__xludf.DUMMYFUNCTION("+E152+1"),138.0)</f>
        <v>138</v>
      </c>
      <c r="F153" s="77"/>
      <c r="G153" s="78">
        <v>0.0</v>
      </c>
      <c r="H153" s="78">
        <v>0.0</v>
      </c>
      <c r="I153" s="78">
        <f>IFERROR(__xludf.DUMMYFUNCTION("+G153-H153"),0.0)</f>
        <v>0</v>
      </c>
      <c r="J153" s="78">
        <v>0.0</v>
      </c>
      <c r="K153" s="78">
        <f>IFERROR(__xludf.DUMMYFUNCTION("+I153+J153"),0.0)</f>
        <v>0</v>
      </c>
      <c r="L153" s="79">
        <f>IFERROR(__xludf.DUMMYFUNCTION("+K153/$K$190"),0.0)</f>
        <v>0</v>
      </c>
      <c r="M153" s="78">
        <f>IFERROR(__xludf.DUMMYFUNCTION("+K153/$T$9"),0.0)</f>
        <v>0</v>
      </c>
      <c r="N153" s="80">
        <f>IFERROR(__xludf.DUMMYFUNCTION("+K153-SUM(O153:AL153)"),0.0)</f>
        <v>0</v>
      </c>
      <c r="O153" s="81">
        <v>0.0</v>
      </c>
      <c r="P153" s="89">
        <v>0.0</v>
      </c>
      <c r="Q153" s="89">
        <v>0.0</v>
      </c>
      <c r="R153" s="89">
        <v>0.0</v>
      </c>
      <c r="S153" s="89">
        <v>0.0</v>
      </c>
      <c r="T153" s="89">
        <v>0.0</v>
      </c>
      <c r="U153" s="89">
        <v>0.0</v>
      </c>
      <c r="V153" s="89">
        <v>0.0</v>
      </c>
      <c r="W153" s="89">
        <v>0.0</v>
      </c>
      <c r="X153" s="89">
        <v>0.0</v>
      </c>
      <c r="Y153" s="89">
        <v>0.0</v>
      </c>
      <c r="Z153" s="89">
        <v>0.0</v>
      </c>
      <c r="AA153" s="89">
        <v>0.0</v>
      </c>
      <c r="AB153" s="89">
        <v>0.0</v>
      </c>
      <c r="AC153" s="89">
        <v>0.0</v>
      </c>
      <c r="AD153" s="89">
        <v>0.0</v>
      </c>
      <c r="AE153" s="89">
        <v>0.0</v>
      </c>
      <c r="AF153" s="89">
        <v>0.0</v>
      </c>
      <c r="AG153" s="89">
        <v>0.0</v>
      </c>
      <c r="AH153" s="89">
        <v>0.0</v>
      </c>
      <c r="AI153" s="89">
        <v>0.0</v>
      </c>
      <c r="AJ153" s="89">
        <v>0.0</v>
      </c>
      <c r="AK153" s="90">
        <v>0.0</v>
      </c>
      <c r="AL153" s="85"/>
      <c r="AM153" s="85">
        <f t="shared" si="1"/>
        <v>0</v>
      </c>
      <c r="AN153" s="86" t="str">
        <f t="shared" si="2"/>
        <v/>
      </c>
      <c r="AO153" s="13"/>
    </row>
    <row r="154" ht="30.0" hidden="1" customHeight="1">
      <c r="A154" s="4" t="str">
        <f>IFERROR(VLOOKUP(C154,'Product List'!$A$2:$C198,2,FALSE),"")</f>
        <v/>
      </c>
      <c r="B154" s="5" t="str">
        <f>IFERROR(VLOOKUP(C154,'Product List'!$A$2:$C198,3,FALSE),"")</f>
        <v/>
      </c>
      <c r="C154" s="6"/>
      <c r="D154" s="5"/>
      <c r="E154" s="76">
        <f>IFERROR(__xludf.DUMMYFUNCTION("+E153+1"),139.0)</f>
        <v>139</v>
      </c>
      <c r="F154" s="77"/>
      <c r="G154" s="78">
        <v>0.0</v>
      </c>
      <c r="H154" s="78">
        <v>0.0</v>
      </c>
      <c r="I154" s="78">
        <f>IFERROR(__xludf.DUMMYFUNCTION("+G154-H154"),0.0)</f>
        <v>0</v>
      </c>
      <c r="J154" s="78">
        <v>0.0</v>
      </c>
      <c r="K154" s="78">
        <f>IFERROR(__xludf.DUMMYFUNCTION("+I154+J154"),0.0)</f>
        <v>0</v>
      </c>
      <c r="L154" s="79">
        <f>IFERROR(__xludf.DUMMYFUNCTION("+K154/$K$190"),0.0)</f>
        <v>0</v>
      </c>
      <c r="M154" s="78">
        <f>IFERROR(__xludf.DUMMYFUNCTION("+K154/$T$9"),0.0)</f>
        <v>0</v>
      </c>
      <c r="N154" s="80">
        <f>IFERROR(__xludf.DUMMYFUNCTION("+K154-SUM(O154:AL154)"),0.0)</f>
        <v>0</v>
      </c>
      <c r="O154" s="81">
        <v>0.0</v>
      </c>
      <c r="P154" s="89">
        <v>0.0</v>
      </c>
      <c r="Q154" s="89">
        <v>0.0</v>
      </c>
      <c r="R154" s="89">
        <v>0.0</v>
      </c>
      <c r="S154" s="89">
        <v>0.0</v>
      </c>
      <c r="T154" s="89">
        <v>0.0</v>
      </c>
      <c r="U154" s="89">
        <v>0.0</v>
      </c>
      <c r="V154" s="89">
        <v>0.0</v>
      </c>
      <c r="W154" s="89">
        <v>0.0</v>
      </c>
      <c r="X154" s="89">
        <v>0.0</v>
      </c>
      <c r="Y154" s="89">
        <v>0.0</v>
      </c>
      <c r="Z154" s="89">
        <v>0.0</v>
      </c>
      <c r="AA154" s="89">
        <v>0.0</v>
      </c>
      <c r="AB154" s="89">
        <v>0.0</v>
      </c>
      <c r="AC154" s="89">
        <v>0.0</v>
      </c>
      <c r="AD154" s="89">
        <v>0.0</v>
      </c>
      <c r="AE154" s="89">
        <v>0.0</v>
      </c>
      <c r="AF154" s="89">
        <v>0.0</v>
      </c>
      <c r="AG154" s="89">
        <v>0.0</v>
      </c>
      <c r="AH154" s="89">
        <v>0.0</v>
      </c>
      <c r="AI154" s="89">
        <v>0.0</v>
      </c>
      <c r="AJ154" s="89">
        <v>0.0</v>
      </c>
      <c r="AK154" s="90">
        <v>0.0</v>
      </c>
      <c r="AL154" s="85"/>
      <c r="AM154" s="85">
        <f t="shared" si="1"/>
        <v>0</v>
      </c>
      <c r="AN154" s="86" t="str">
        <f t="shared" si="2"/>
        <v/>
      </c>
      <c r="AO154" s="13"/>
    </row>
    <row r="155" ht="30.0" hidden="1" customHeight="1">
      <c r="A155" s="4" t="str">
        <f>IFERROR(VLOOKUP(C155,'Product List'!$A$2:$C198,2,FALSE),"")</f>
        <v/>
      </c>
      <c r="B155" s="5" t="str">
        <f>IFERROR(VLOOKUP(C155,'Product List'!$A$2:$C198,3,FALSE),"")</f>
        <v/>
      </c>
      <c r="C155" s="6"/>
      <c r="D155" s="5"/>
      <c r="E155" s="76">
        <f>IFERROR(__xludf.DUMMYFUNCTION("+E154+1"),140.0)</f>
        <v>140</v>
      </c>
      <c r="F155" s="77"/>
      <c r="G155" s="78">
        <v>0.0</v>
      </c>
      <c r="H155" s="78">
        <v>0.0</v>
      </c>
      <c r="I155" s="78">
        <f>IFERROR(__xludf.DUMMYFUNCTION("+G155-H155"),0.0)</f>
        <v>0</v>
      </c>
      <c r="J155" s="78">
        <v>0.0</v>
      </c>
      <c r="K155" s="78">
        <f>IFERROR(__xludf.DUMMYFUNCTION("+I155+J155"),0.0)</f>
        <v>0</v>
      </c>
      <c r="L155" s="79">
        <f>IFERROR(__xludf.DUMMYFUNCTION("+K155/$K$190"),0.0)</f>
        <v>0</v>
      </c>
      <c r="M155" s="78">
        <f>IFERROR(__xludf.DUMMYFUNCTION("+K155/$T$9"),0.0)</f>
        <v>0</v>
      </c>
      <c r="N155" s="80">
        <f>IFERROR(__xludf.DUMMYFUNCTION("+K155-SUM(O155:AL155)"),0.0)</f>
        <v>0</v>
      </c>
      <c r="O155" s="81">
        <v>0.0</v>
      </c>
      <c r="P155" s="89">
        <v>0.0</v>
      </c>
      <c r="Q155" s="89">
        <v>0.0</v>
      </c>
      <c r="R155" s="89">
        <v>0.0</v>
      </c>
      <c r="S155" s="89">
        <v>0.0</v>
      </c>
      <c r="T155" s="89">
        <v>0.0</v>
      </c>
      <c r="U155" s="89">
        <v>0.0</v>
      </c>
      <c r="V155" s="89">
        <v>0.0</v>
      </c>
      <c r="W155" s="89">
        <v>0.0</v>
      </c>
      <c r="X155" s="89">
        <v>0.0</v>
      </c>
      <c r="Y155" s="89">
        <v>0.0</v>
      </c>
      <c r="Z155" s="89">
        <v>0.0</v>
      </c>
      <c r="AA155" s="89">
        <v>0.0</v>
      </c>
      <c r="AB155" s="89">
        <v>0.0</v>
      </c>
      <c r="AC155" s="89">
        <v>0.0</v>
      </c>
      <c r="AD155" s="89">
        <v>0.0</v>
      </c>
      <c r="AE155" s="89">
        <v>0.0</v>
      </c>
      <c r="AF155" s="89">
        <v>0.0</v>
      </c>
      <c r="AG155" s="89">
        <v>0.0</v>
      </c>
      <c r="AH155" s="89">
        <v>0.0</v>
      </c>
      <c r="AI155" s="89">
        <v>0.0</v>
      </c>
      <c r="AJ155" s="89">
        <v>0.0</v>
      </c>
      <c r="AK155" s="90">
        <v>0.0</v>
      </c>
      <c r="AL155" s="85"/>
      <c r="AM155" s="85">
        <f t="shared" si="1"/>
        <v>0</v>
      </c>
      <c r="AN155" s="86" t="str">
        <f t="shared" si="2"/>
        <v/>
      </c>
      <c r="AO155" s="13"/>
    </row>
    <row r="156" ht="30.0" hidden="1" customHeight="1">
      <c r="A156" s="4" t="str">
        <f>IFERROR(VLOOKUP(C156,'Product List'!$A$2:$C198,2,FALSE),"")</f>
        <v/>
      </c>
      <c r="B156" s="5" t="str">
        <f>IFERROR(VLOOKUP(C156,'Product List'!$A$2:$C198,3,FALSE),"")</f>
        <v/>
      </c>
      <c r="C156" s="6"/>
      <c r="D156" s="5"/>
      <c r="E156" s="76">
        <f>IFERROR(__xludf.DUMMYFUNCTION("+E155+1"),141.0)</f>
        <v>141</v>
      </c>
      <c r="F156" s="77"/>
      <c r="G156" s="78">
        <v>0.0</v>
      </c>
      <c r="H156" s="78">
        <v>0.0</v>
      </c>
      <c r="I156" s="78">
        <f>IFERROR(__xludf.DUMMYFUNCTION("+G156-H156"),0.0)</f>
        <v>0</v>
      </c>
      <c r="J156" s="78">
        <v>0.0</v>
      </c>
      <c r="K156" s="78">
        <f>IFERROR(__xludf.DUMMYFUNCTION("+I156+J156"),0.0)</f>
        <v>0</v>
      </c>
      <c r="L156" s="79">
        <f>IFERROR(__xludf.DUMMYFUNCTION("+K156/$K$190"),0.0)</f>
        <v>0</v>
      </c>
      <c r="M156" s="78">
        <f>IFERROR(__xludf.DUMMYFUNCTION("+K156/$T$9"),0.0)</f>
        <v>0</v>
      </c>
      <c r="N156" s="80">
        <f>IFERROR(__xludf.DUMMYFUNCTION("+K156-SUM(O156:AL156)"),0.0)</f>
        <v>0</v>
      </c>
      <c r="O156" s="81">
        <v>0.0</v>
      </c>
      <c r="P156" s="89">
        <v>0.0</v>
      </c>
      <c r="Q156" s="89">
        <v>0.0</v>
      </c>
      <c r="R156" s="89">
        <v>0.0</v>
      </c>
      <c r="S156" s="89">
        <v>0.0</v>
      </c>
      <c r="T156" s="89">
        <v>0.0</v>
      </c>
      <c r="U156" s="89">
        <v>0.0</v>
      </c>
      <c r="V156" s="89">
        <v>0.0</v>
      </c>
      <c r="W156" s="89">
        <v>0.0</v>
      </c>
      <c r="X156" s="89">
        <v>0.0</v>
      </c>
      <c r="Y156" s="89">
        <v>0.0</v>
      </c>
      <c r="Z156" s="89">
        <v>0.0</v>
      </c>
      <c r="AA156" s="89">
        <v>0.0</v>
      </c>
      <c r="AB156" s="89">
        <v>0.0</v>
      </c>
      <c r="AC156" s="89">
        <v>0.0</v>
      </c>
      <c r="AD156" s="89">
        <v>0.0</v>
      </c>
      <c r="AE156" s="89">
        <v>0.0</v>
      </c>
      <c r="AF156" s="89">
        <v>0.0</v>
      </c>
      <c r="AG156" s="89">
        <v>0.0</v>
      </c>
      <c r="AH156" s="89">
        <v>0.0</v>
      </c>
      <c r="AI156" s="89">
        <v>0.0</v>
      </c>
      <c r="AJ156" s="89">
        <v>0.0</v>
      </c>
      <c r="AK156" s="90">
        <v>0.0</v>
      </c>
      <c r="AL156" s="85"/>
      <c r="AM156" s="85">
        <f t="shared" si="1"/>
        <v>0</v>
      </c>
      <c r="AN156" s="86" t="str">
        <f t="shared" si="2"/>
        <v/>
      </c>
      <c r="AO156" s="13"/>
    </row>
    <row r="157" ht="30.0" hidden="1" customHeight="1">
      <c r="A157" s="4" t="str">
        <f>IFERROR(VLOOKUP(C157,'Product List'!$A$2:$C198,2,FALSE),"")</f>
        <v/>
      </c>
      <c r="B157" s="5" t="str">
        <f>IFERROR(VLOOKUP(C157,'Product List'!$A$2:$C198,3,FALSE),"")</f>
        <v/>
      </c>
      <c r="C157" s="6"/>
      <c r="D157" s="5"/>
      <c r="E157" s="76">
        <f>IFERROR(__xludf.DUMMYFUNCTION("+E156+1"),142.0)</f>
        <v>142</v>
      </c>
      <c r="F157" s="77"/>
      <c r="G157" s="78">
        <v>0.0</v>
      </c>
      <c r="H157" s="78">
        <v>0.0</v>
      </c>
      <c r="I157" s="78">
        <f>IFERROR(__xludf.DUMMYFUNCTION("+G157-H157"),0.0)</f>
        <v>0</v>
      </c>
      <c r="J157" s="78">
        <v>0.0</v>
      </c>
      <c r="K157" s="78">
        <f>IFERROR(__xludf.DUMMYFUNCTION("+I157+J157"),0.0)</f>
        <v>0</v>
      </c>
      <c r="L157" s="79">
        <f>IFERROR(__xludf.DUMMYFUNCTION("+K157/$K$190"),0.0)</f>
        <v>0</v>
      </c>
      <c r="M157" s="78">
        <f>IFERROR(__xludf.DUMMYFUNCTION("+K157/$T$9"),0.0)</f>
        <v>0</v>
      </c>
      <c r="N157" s="80">
        <f>IFERROR(__xludf.DUMMYFUNCTION("+K157-SUM(O157:AL157)"),0.0)</f>
        <v>0</v>
      </c>
      <c r="O157" s="81">
        <v>0.0</v>
      </c>
      <c r="P157" s="89">
        <v>0.0</v>
      </c>
      <c r="Q157" s="89">
        <v>0.0</v>
      </c>
      <c r="R157" s="89">
        <v>0.0</v>
      </c>
      <c r="S157" s="89">
        <v>0.0</v>
      </c>
      <c r="T157" s="89">
        <v>0.0</v>
      </c>
      <c r="U157" s="89">
        <v>0.0</v>
      </c>
      <c r="V157" s="89">
        <v>0.0</v>
      </c>
      <c r="W157" s="89">
        <v>0.0</v>
      </c>
      <c r="X157" s="89">
        <v>0.0</v>
      </c>
      <c r="Y157" s="89">
        <v>0.0</v>
      </c>
      <c r="Z157" s="89">
        <v>0.0</v>
      </c>
      <c r="AA157" s="89">
        <v>0.0</v>
      </c>
      <c r="AB157" s="89">
        <v>0.0</v>
      </c>
      <c r="AC157" s="89">
        <v>0.0</v>
      </c>
      <c r="AD157" s="89">
        <v>0.0</v>
      </c>
      <c r="AE157" s="89">
        <v>0.0</v>
      </c>
      <c r="AF157" s="89">
        <v>0.0</v>
      </c>
      <c r="AG157" s="89">
        <v>0.0</v>
      </c>
      <c r="AH157" s="89">
        <v>0.0</v>
      </c>
      <c r="AI157" s="89">
        <v>0.0</v>
      </c>
      <c r="AJ157" s="89">
        <v>0.0</v>
      </c>
      <c r="AK157" s="90">
        <v>0.0</v>
      </c>
      <c r="AL157" s="85"/>
      <c r="AM157" s="85">
        <f t="shared" si="1"/>
        <v>0</v>
      </c>
      <c r="AN157" s="86" t="str">
        <f t="shared" si="2"/>
        <v/>
      </c>
      <c r="AO157" s="13"/>
    </row>
    <row r="158" ht="30.0" hidden="1" customHeight="1">
      <c r="A158" s="4" t="str">
        <f>IFERROR(VLOOKUP(C158,'Product List'!$A$2:$C198,2,FALSE),"")</f>
        <v/>
      </c>
      <c r="B158" s="5" t="str">
        <f>IFERROR(VLOOKUP(C158,'Product List'!$A$2:$C198,3,FALSE),"")</f>
        <v/>
      </c>
      <c r="C158" s="6"/>
      <c r="D158" s="5"/>
      <c r="E158" s="76">
        <f>IFERROR(__xludf.DUMMYFUNCTION("+E157+1"),143.0)</f>
        <v>143</v>
      </c>
      <c r="F158" s="77"/>
      <c r="G158" s="78">
        <v>0.0</v>
      </c>
      <c r="H158" s="78">
        <v>0.0</v>
      </c>
      <c r="I158" s="78">
        <f>IFERROR(__xludf.DUMMYFUNCTION("+G158-H158"),0.0)</f>
        <v>0</v>
      </c>
      <c r="J158" s="78">
        <v>0.0</v>
      </c>
      <c r="K158" s="78">
        <f>IFERROR(__xludf.DUMMYFUNCTION("+I158+J158"),0.0)</f>
        <v>0</v>
      </c>
      <c r="L158" s="79">
        <f>IFERROR(__xludf.DUMMYFUNCTION("+K158/$K$190"),0.0)</f>
        <v>0</v>
      </c>
      <c r="M158" s="78">
        <f>IFERROR(__xludf.DUMMYFUNCTION("+K158/$T$9"),0.0)</f>
        <v>0</v>
      </c>
      <c r="N158" s="80">
        <f>IFERROR(__xludf.DUMMYFUNCTION("+K158-SUM(O158:AL158)"),0.0)</f>
        <v>0</v>
      </c>
      <c r="O158" s="81">
        <v>0.0</v>
      </c>
      <c r="P158" s="89">
        <v>0.0</v>
      </c>
      <c r="Q158" s="89">
        <v>0.0</v>
      </c>
      <c r="R158" s="89">
        <v>0.0</v>
      </c>
      <c r="S158" s="89">
        <v>0.0</v>
      </c>
      <c r="T158" s="89">
        <v>0.0</v>
      </c>
      <c r="U158" s="89">
        <v>0.0</v>
      </c>
      <c r="V158" s="89">
        <v>0.0</v>
      </c>
      <c r="W158" s="89">
        <v>0.0</v>
      </c>
      <c r="X158" s="89">
        <v>0.0</v>
      </c>
      <c r="Y158" s="89">
        <v>0.0</v>
      </c>
      <c r="Z158" s="89">
        <v>0.0</v>
      </c>
      <c r="AA158" s="89">
        <v>0.0</v>
      </c>
      <c r="AB158" s="89">
        <v>0.0</v>
      </c>
      <c r="AC158" s="89">
        <v>0.0</v>
      </c>
      <c r="AD158" s="89">
        <v>0.0</v>
      </c>
      <c r="AE158" s="89">
        <v>0.0</v>
      </c>
      <c r="AF158" s="89">
        <v>0.0</v>
      </c>
      <c r="AG158" s="89">
        <v>0.0</v>
      </c>
      <c r="AH158" s="89">
        <v>0.0</v>
      </c>
      <c r="AI158" s="89">
        <v>0.0</v>
      </c>
      <c r="AJ158" s="89">
        <v>0.0</v>
      </c>
      <c r="AK158" s="90">
        <v>0.0</v>
      </c>
      <c r="AL158" s="85"/>
      <c r="AM158" s="85">
        <f t="shared" si="1"/>
        <v>0</v>
      </c>
      <c r="AN158" s="86" t="str">
        <f t="shared" si="2"/>
        <v/>
      </c>
      <c r="AO158" s="13"/>
    </row>
    <row r="159" ht="30.0" hidden="1" customHeight="1">
      <c r="A159" s="4" t="str">
        <f>IFERROR(VLOOKUP(C159,'Product List'!$A$2:$C198,2,FALSE),"")</f>
        <v/>
      </c>
      <c r="B159" s="5" t="str">
        <f>IFERROR(VLOOKUP(C159,'Product List'!$A$2:$C198,3,FALSE),"")</f>
        <v/>
      </c>
      <c r="C159" s="6"/>
      <c r="D159" s="5"/>
      <c r="E159" s="76">
        <f>IFERROR(__xludf.DUMMYFUNCTION("+E158+1"),144.0)</f>
        <v>144</v>
      </c>
      <c r="F159" s="77"/>
      <c r="G159" s="78">
        <v>0.0</v>
      </c>
      <c r="H159" s="78">
        <v>0.0</v>
      </c>
      <c r="I159" s="78">
        <f>IFERROR(__xludf.DUMMYFUNCTION("+G159-H159"),0.0)</f>
        <v>0</v>
      </c>
      <c r="J159" s="78">
        <v>0.0</v>
      </c>
      <c r="K159" s="78">
        <f>IFERROR(__xludf.DUMMYFUNCTION("+I159+J159"),0.0)</f>
        <v>0</v>
      </c>
      <c r="L159" s="79">
        <f>IFERROR(__xludf.DUMMYFUNCTION("+K159/$K$190"),0.0)</f>
        <v>0</v>
      </c>
      <c r="M159" s="78">
        <f>IFERROR(__xludf.DUMMYFUNCTION("+K159/$T$9"),0.0)</f>
        <v>0</v>
      </c>
      <c r="N159" s="80">
        <f>IFERROR(__xludf.DUMMYFUNCTION("+K159-SUM(O159:AL159)"),0.0)</f>
        <v>0</v>
      </c>
      <c r="O159" s="81">
        <v>0.0</v>
      </c>
      <c r="P159" s="89">
        <v>0.0</v>
      </c>
      <c r="Q159" s="89">
        <v>0.0</v>
      </c>
      <c r="R159" s="89">
        <v>0.0</v>
      </c>
      <c r="S159" s="89">
        <v>0.0</v>
      </c>
      <c r="T159" s="89">
        <v>0.0</v>
      </c>
      <c r="U159" s="89">
        <v>0.0</v>
      </c>
      <c r="V159" s="89">
        <v>0.0</v>
      </c>
      <c r="W159" s="89">
        <v>0.0</v>
      </c>
      <c r="X159" s="89">
        <v>0.0</v>
      </c>
      <c r="Y159" s="89">
        <v>0.0</v>
      </c>
      <c r="Z159" s="89">
        <v>0.0</v>
      </c>
      <c r="AA159" s="89">
        <v>0.0</v>
      </c>
      <c r="AB159" s="89">
        <v>0.0</v>
      </c>
      <c r="AC159" s="89">
        <v>0.0</v>
      </c>
      <c r="AD159" s="89">
        <v>0.0</v>
      </c>
      <c r="AE159" s="89">
        <v>0.0</v>
      </c>
      <c r="AF159" s="89">
        <v>0.0</v>
      </c>
      <c r="AG159" s="89">
        <v>0.0</v>
      </c>
      <c r="AH159" s="89">
        <v>0.0</v>
      </c>
      <c r="AI159" s="89">
        <v>0.0</v>
      </c>
      <c r="AJ159" s="89">
        <v>0.0</v>
      </c>
      <c r="AK159" s="90">
        <v>0.0</v>
      </c>
      <c r="AL159" s="85"/>
      <c r="AM159" s="85">
        <f t="shared" si="1"/>
        <v>0</v>
      </c>
      <c r="AN159" s="86" t="str">
        <f t="shared" si="2"/>
        <v/>
      </c>
      <c r="AO159" s="13"/>
    </row>
    <row r="160" ht="30.0" hidden="1" customHeight="1">
      <c r="A160" s="4" t="str">
        <f>IFERROR(VLOOKUP(C160,'Product List'!$A$2:$C198,2,FALSE),"")</f>
        <v/>
      </c>
      <c r="B160" s="5" t="str">
        <f>IFERROR(VLOOKUP(C160,'Product List'!$A$2:$C198,3,FALSE),"")</f>
        <v/>
      </c>
      <c r="C160" s="6"/>
      <c r="D160" s="5"/>
      <c r="E160" s="76">
        <f>IFERROR(__xludf.DUMMYFUNCTION("+E159+1"),145.0)</f>
        <v>145</v>
      </c>
      <c r="F160" s="77"/>
      <c r="G160" s="78">
        <v>0.0</v>
      </c>
      <c r="H160" s="78">
        <v>0.0</v>
      </c>
      <c r="I160" s="78">
        <f>IFERROR(__xludf.DUMMYFUNCTION("+G160-H160"),0.0)</f>
        <v>0</v>
      </c>
      <c r="J160" s="78">
        <v>0.0</v>
      </c>
      <c r="K160" s="78">
        <f>IFERROR(__xludf.DUMMYFUNCTION("+I160+J160"),0.0)</f>
        <v>0</v>
      </c>
      <c r="L160" s="79">
        <f>IFERROR(__xludf.DUMMYFUNCTION("+K160/$K$190"),0.0)</f>
        <v>0</v>
      </c>
      <c r="M160" s="78">
        <f>IFERROR(__xludf.DUMMYFUNCTION("+K160/$T$9"),0.0)</f>
        <v>0</v>
      </c>
      <c r="N160" s="80">
        <f>IFERROR(__xludf.DUMMYFUNCTION("+K160-SUM(O160:AL160)"),0.0)</f>
        <v>0</v>
      </c>
      <c r="O160" s="81">
        <v>0.0</v>
      </c>
      <c r="P160" s="89">
        <v>0.0</v>
      </c>
      <c r="Q160" s="89">
        <v>0.0</v>
      </c>
      <c r="R160" s="89">
        <v>0.0</v>
      </c>
      <c r="S160" s="89">
        <v>0.0</v>
      </c>
      <c r="T160" s="89">
        <v>0.0</v>
      </c>
      <c r="U160" s="89">
        <v>0.0</v>
      </c>
      <c r="V160" s="89">
        <v>0.0</v>
      </c>
      <c r="W160" s="89">
        <v>0.0</v>
      </c>
      <c r="X160" s="89">
        <v>0.0</v>
      </c>
      <c r="Y160" s="89">
        <v>0.0</v>
      </c>
      <c r="Z160" s="89">
        <v>0.0</v>
      </c>
      <c r="AA160" s="89">
        <v>0.0</v>
      </c>
      <c r="AB160" s="89">
        <v>0.0</v>
      </c>
      <c r="AC160" s="89">
        <v>0.0</v>
      </c>
      <c r="AD160" s="89">
        <v>0.0</v>
      </c>
      <c r="AE160" s="89">
        <v>0.0</v>
      </c>
      <c r="AF160" s="89">
        <v>0.0</v>
      </c>
      <c r="AG160" s="89">
        <v>0.0</v>
      </c>
      <c r="AH160" s="89">
        <v>0.0</v>
      </c>
      <c r="AI160" s="89">
        <v>0.0</v>
      </c>
      <c r="AJ160" s="89">
        <v>0.0</v>
      </c>
      <c r="AK160" s="90">
        <v>0.0</v>
      </c>
      <c r="AL160" s="85"/>
      <c r="AM160" s="85">
        <f t="shared" si="1"/>
        <v>0</v>
      </c>
      <c r="AN160" s="86" t="str">
        <f t="shared" si="2"/>
        <v/>
      </c>
      <c r="AO160" s="13"/>
    </row>
    <row r="161" ht="30.0" hidden="1" customHeight="1">
      <c r="A161" s="4" t="str">
        <f>IFERROR(VLOOKUP(C161,'Product List'!$A$2:$C198,2,FALSE),"")</f>
        <v/>
      </c>
      <c r="B161" s="5" t="str">
        <f>IFERROR(VLOOKUP(C161,'Product List'!$A$2:$C198,3,FALSE),"")</f>
        <v/>
      </c>
      <c r="C161" s="6"/>
      <c r="D161" s="5"/>
      <c r="E161" s="76">
        <f>IFERROR(__xludf.DUMMYFUNCTION("+E160+1"),146.0)</f>
        <v>146</v>
      </c>
      <c r="F161" s="77"/>
      <c r="G161" s="78">
        <v>0.0</v>
      </c>
      <c r="H161" s="78">
        <v>0.0</v>
      </c>
      <c r="I161" s="78">
        <f>IFERROR(__xludf.DUMMYFUNCTION("+G161-H161"),0.0)</f>
        <v>0</v>
      </c>
      <c r="J161" s="78">
        <v>0.0</v>
      </c>
      <c r="K161" s="78">
        <f>IFERROR(__xludf.DUMMYFUNCTION("+I161+J161"),0.0)</f>
        <v>0</v>
      </c>
      <c r="L161" s="79">
        <f>IFERROR(__xludf.DUMMYFUNCTION("+K161/$K$190"),0.0)</f>
        <v>0</v>
      </c>
      <c r="M161" s="78">
        <f>IFERROR(__xludf.DUMMYFUNCTION("+K161/$T$9"),0.0)</f>
        <v>0</v>
      </c>
      <c r="N161" s="80">
        <f>IFERROR(__xludf.DUMMYFUNCTION("+K161-SUM(O161:AL161)"),0.0)</f>
        <v>0</v>
      </c>
      <c r="O161" s="81">
        <v>0.0</v>
      </c>
      <c r="P161" s="89">
        <v>0.0</v>
      </c>
      <c r="Q161" s="89">
        <v>0.0</v>
      </c>
      <c r="R161" s="89">
        <v>0.0</v>
      </c>
      <c r="S161" s="89">
        <v>0.0</v>
      </c>
      <c r="T161" s="89">
        <v>0.0</v>
      </c>
      <c r="U161" s="89">
        <v>0.0</v>
      </c>
      <c r="V161" s="89">
        <v>0.0</v>
      </c>
      <c r="W161" s="89">
        <v>0.0</v>
      </c>
      <c r="X161" s="89">
        <v>0.0</v>
      </c>
      <c r="Y161" s="89">
        <v>0.0</v>
      </c>
      <c r="Z161" s="89">
        <v>0.0</v>
      </c>
      <c r="AA161" s="89">
        <v>0.0</v>
      </c>
      <c r="AB161" s="89">
        <v>0.0</v>
      </c>
      <c r="AC161" s="89">
        <v>0.0</v>
      </c>
      <c r="AD161" s="89">
        <v>0.0</v>
      </c>
      <c r="AE161" s="89">
        <v>0.0</v>
      </c>
      <c r="AF161" s="89">
        <v>0.0</v>
      </c>
      <c r="AG161" s="89">
        <v>0.0</v>
      </c>
      <c r="AH161" s="89">
        <v>0.0</v>
      </c>
      <c r="AI161" s="89">
        <v>0.0</v>
      </c>
      <c r="AJ161" s="89">
        <v>0.0</v>
      </c>
      <c r="AK161" s="90">
        <v>0.0</v>
      </c>
      <c r="AL161" s="85"/>
      <c r="AM161" s="85">
        <f t="shared" si="1"/>
        <v>0</v>
      </c>
      <c r="AN161" s="86" t="str">
        <f t="shared" si="2"/>
        <v/>
      </c>
      <c r="AO161" s="13"/>
    </row>
    <row r="162" ht="30.0" hidden="1" customHeight="1">
      <c r="A162" s="4" t="str">
        <f>IFERROR(VLOOKUP(C162,'Product List'!$A$2:$C198,2,FALSE),"")</f>
        <v/>
      </c>
      <c r="B162" s="5" t="str">
        <f>IFERROR(VLOOKUP(C162,'Product List'!$A$2:$C198,3,FALSE),"")</f>
        <v/>
      </c>
      <c r="C162" s="6"/>
      <c r="D162" s="5"/>
      <c r="E162" s="76">
        <f>IFERROR(__xludf.DUMMYFUNCTION("+E161+1"),147.0)</f>
        <v>147</v>
      </c>
      <c r="F162" s="77"/>
      <c r="G162" s="78">
        <v>0.0</v>
      </c>
      <c r="H162" s="78">
        <v>0.0</v>
      </c>
      <c r="I162" s="78">
        <f>IFERROR(__xludf.DUMMYFUNCTION("+G162-H162"),0.0)</f>
        <v>0</v>
      </c>
      <c r="J162" s="78">
        <v>0.0</v>
      </c>
      <c r="K162" s="78">
        <f>IFERROR(__xludf.DUMMYFUNCTION("+I162+J162"),0.0)</f>
        <v>0</v>
      </c>
      <c r="L162" s="79">
        <f>IFERROR(__xludf.DUMMYFUNCTION("+K162/$K$190"),0.0)</f>
        <v>0</v>
      </c>
      <c r="M162" s="78">
        <f>IFERROR(__xludf.DUMMYFUNCTION("+K162/$T$9"),0.0)</f>
        <v>0</v>
      </c>
      <c r="N162" s="80">
        <f>IFERROR(__xludf.DUMMYFUNCTION("+K162-SUM(O162:AL162)"),0.0)</f>
        <v>0</v>
      </c>
      <c r="O162" s="81">
        <v>0.0</v>
      </c>
      <c r="P162" s="89">
        <v>0.0</v>
      </c>
      <c r="Q162" s="89">
        <v>0.0</v>
      </c>
      <c r="R162" s="89">
        <v>0.0</v>
      </c>
      <c r="S162" s="89">
        <v>0.0</v>
      </c>
      <c r="T162" s="89">
        <v>0.0</v>
      </c>
      <c r="U162" s="89">
        <v>0.0</v>
      </c>
      <c r="V162" s="89">
        <v>0.0</v>
      </c>
      <c r="W162" s="89">
        <v>0.0</v>
      </c>
      <c r="X162" s="89">
        <v>0.0</v>
      </c>
      <c r="Y162" s="89">
        <v>0.0</v>
      </c>
      <c r="Z162" s="89">
        <v>0.0</v>
      </c>
      <c r="AA162" s="89">
        <v>0.0</v>
      </c>
      <c r="AB162" s="89">
        <v>0.0</v>
      </c>
      <c r="AC162" s="89">
        <v>0.0</v>
      </c>
      <c r="AD162" s="89">
        <v>0.0</v>
      </c>
      <c r="AE162" s="89">
        <v>0.0</v>
      </c>
      <c r="AF162" s="89">
        <v>0.0</v>
      </c>
      <c r="AG162" s="89">
        <v>0.0</v>
      </c>
      <c r="AH162" s="89">
        <v>0.0</v>
      </c>
      <c r="AI162" s="89">
        <v>0.0</v>
      </c>
      <c r="AJ162" s="89">
        <v>0.0</v>
      </c>
      <c r="AK162" s="90">
        <v>0.0</v>
      </c>
      <c r="AL162" s="85"/>
      <c r="AM162" s="85">
        <f t="shared" si="1"/>
        <v>0</v>
      </c>
      <c r="AN162" s="86" t="str">
        <f t="shared" si="2"/>
        <v/>
      </c>
      <c r="AO162" s="13"/>
    </row>
    <row r="163" ht="30.0" hidden="1" customHeight="1">
      <c r="A163" s="4" t="str">
        <f>IFERROR(VLOOKUP(C163,'Product List'!$A$2:$C198,2,FALSE),"")</f>
        <v/>
      </c>
      <c r="B163" s="5" t="str">
        <f>IFERROR(VLOOKUP(C163,'Product List'!$A$2:$C198,3,FALSE),"")</f>
        <v/>
      </c>
      <c r="C163" s="6"/>
      <c r="D163" s="5"/>
      <c r="E163" s="76">
        <f>IFERROR(__xludf.DUMMYFUNCTION("+E162+1"),148.0)</f>
        <v>148</v>
      </c>
      <c r="F163" s="77"/>
      <c r="G163" s="78">
        <v>0.0</v>
      </c>
      <c r="H163" s="78">
        <v>0.0</v>
      </c>
      <c r="I163" s="78">
        <f>IFERROR(__xludf.DUMMYFUNCTION("+G163-H163"),0.0)</f>
        <v>0</v>
      </c>
      <c r="J163" s="78">
        <v>0.0</v>
      </c>
      <c r="K163" s="78">
        <f>IFERROR(__xludf.DUMMYFUNCTION("+I163+J163"),0.0)</f>
        <v>0</v>
      </c>
      <c r="L163" s="79">
        <f>IFERROR(__xludf.DUMMYFUNCTION("+K163/$K$190"),0.0)</f>
        <v>0</v>
      </c>
      <c r="M163" s="78">
        <f>IFERROR(__xludf.DUMMYFUNCTION("+K163/$T$9"),0.0)</f>
        <v>0</v>
      </c>
      <c r="N163" s="80">
        <f>IFERROR(__xludf.DUMMYFUNCTION("+K163-SUM(O163:AL163)"),0.0)</f>
        <v>0</v>
      </c>
      <c r="O163" s="81">
        <v>0.0</v>
      </c>
      <c r="P163" s="89">
        <v>0.0</v>
      </c>
      <c r="Q163" s="89">
        <v>0.0</v>
      </c>
      <c r="R163" s="89">
        <v>0.0</v>
      </c>
      <c r="S163" s="89">
        <v>0.0</v>
      </c>
      <c r="T163" s="89">
        <v>0.0</v>
      </c>
      <c r="U163" s="89">
        <v>0.0</v>
      </c>
      <c r="V163" s="89">
        <v>0.0</v>
      </c>
      <c r="W163" s="89">
        <v>0.0</v>
      </c>
      <c r="X163" s="89">
        <v>0.0</v>
      </c>
      <c r="Y163" s="89">
        <v>0.0</v>
      </c>
      <c r="Z163" s="89">
        <v>0.0</v>
      </c>
      <c r="AA163" s="89">
        <v>0.0</v>
      </c>
      <c r="AB163" s="89">
        <v>0.0</v>
      </c>
      <c r="AC163" s="89">
        <v>0.0</v>
      </c>
      <c r="AD163" s="89">
        <v>0.0</v>
      </c>
      <c r="AE163" s="89">
        <v>0.0</v>
      </c>
      <c r="AF163" s="89">
        <v>0.0</v>
      </c>
      <c r="AG163" s="89">
        <v>0.0</v>
      </c>
      <c r="AH163" s="89">
        <v>0.0</v>
      </c>
      <c r="AI163" s="89">
        <v>0.0</v>
      </c>
      <c r="AJ163" s="89">
        <v>0.0</v>
      </c>
      <c r="AK163" s="90">
        <v>0.0</v>
      </c>
      <c r="AL163" s="85"/>
      <c r="AM163" s="85">
        <f t="shared" si="1"/>
        <v>0</v>
      </c>
      <c r="AN163" s="86" t="str">
        <f t="shared" si="2"/>
        <v/>
      </c>
      <c r="AO163" s="13"/>
    </row>
    <row r="164" ht="30.0" hidden="1" customHeight="1">
      <c r="A164" s="4" t="str">
        <f>IFERROR(VLOOKUP(C164,'Product List'!$A$2:$C198,2,FALSE),"")</f>
        <v/>
      </c>
      <c r="B164" s="5" t="str">
        <f>IFERROR(VLOOKUP(C164,'Product List'!$A$2:$C198,3,FALSE),"")</f>
        <v/>
      </c>
      <c r="C164" s="6"/>
      <c r="D164" s="5"/>
      <c r="E164" s="76">
        <f>IFERROR(__xludf.DUMMYFUNCTION("+E163+1"),149.0)</f>
        <v>149</v>
      </c>
      <c r="F164" s="77"/>
      <c r="G164" s="78">
        <v>0.0</v>
      </c>
      <c r="H164" s="78">
        <v>0.0</v>
      </c>
      <c r="I164" s="78">
        <f>IFERROR(__xludf.DUMMYFUNCTION("+G164-H164"),0.0)</f>
        <v>0</v>
      </c>
      <c r="J164" s="78">
        <v>0.0</v>
      </c>
      <c r="K164" s="78">
        <f>IFERROR(__xludf.DUMMYFUNCTION("+I164+J164"),0.0)</f>
        <v>0</v>
      </c>
      <c r="L164" s="79">
        <f>IFERROR(__xludf.DUMMYFUNCTION("+K164/$K$190"),0.0)</f>
        <v>0</v>
      </c>
      <c r="M164" s="78">
        <f>IFERROR(__xludf.DUMMYFUNCTION("+K164/$T$9"),0.0)</f>
        <v>0</v>
      </c>
      <c r="N164" s="80">
        <f>IFERROR(__xludf.DUMMYFUNCTION("+K164-SUM(O164:AL164)"),0.0)</f>
        <v>0</v>
      </c>
      <c r="O164" s="81">
        <v>0.0</v>
      </c>
      <c r="P164" s="89">
        <v>0.0</v>
      </c>
      <c r="Q164" s="89">
        <v>0.0</v>
      </c>
      <c r="R164" s="89">
        <v>0.0</v>
      </c>
      <c r="S164" s="89">
        <v>0.0</v>
      </c>
      <c r="T164" s="89">
        <v>0.0</v>
      </c>
      <c r="U164" s="89">
        <v>0.0</v>
      </c>
      <c r="V164" s="89">
        <v>0.0</v>
      </c>
      <c r="W164" s="89">
        <v>0.0</v>
      </c>
      <c r="X164" s="89">
        <v>0.0</v>
      </c>
      <c r="Y164" s="89">
        <v>0.0</v>
      </c>
      <c r="Z164" s="89">
        <v>0.0</v>
      </c>
      <c r="AA164" s="89">
        <v>0.0</v>
      </c>
      <c r="AB164" s="89">
        <v>0.0</v>
      </c>
      <c r="AC164" s="89">
        <v>0.0</v>
      </c>
      <c r="AD164" s="89">
        <v>0.0</v>
      </c>
      <c r="AE164" s="89">
        <v>0.0</v>
      </c>
      <c r="AF164" s="89">
        <v>0.0</v>
      </c>
      <c r="AG164" s="89">
        <v>0.0</v>
      </c>
      <c r="AH164" s="89">
        <v>0.0</v>
      </c>
      <c r="AI164" s="89">
        <v>0.0</v>
      </c>
      <c r="AJ164" s="89">
        <v>0.0</v>
      </c>
      <c r="AK164" s="90">
        <v>0.0</v>
      </c>
      <c r="AL164" s="85"/>
      <c r="AM164" s="85">
        <f t="shared" si="1"/>
        <v>0</v>
      </c>
      <c r="AN164" s="86" t="str">
        <f t="shared" si="2"/>
        <v/>
      </c>
      <c r="AO164" s="13"/>
    </row>
    <row r="165" ht="30.0" hidden="1" customHeight="1">
      <c r="A165" s="4" t="str">
        <f>IFERROR(VLOOKUP(C165,'Product List'!$A$2:$C198,2,FALSE),"")</f>
        <v/>
      </c>
      <c r="B165" s="5" t="str">
        <f>IFERROR(VLOOKUP(C165,'Product List'!$A$2:$C198,3,FALSE),"")</f>
        <v/>
      </c>
      <c r="C165" s="6"/>
      <c r="D165" s="5"/>
      <c r="E165" s="76">
        <f>IFERROR(__xludf.DUMMYFUNCTION("+E164+1"),150.0)</f>
        <v>150</v>
      </c>
      <c r="F165" s="77"/>
      <c r="G165" s="78">
        <v>0.0</v>
      </c>
      <c r="H165" s="78">
        <v>0.0</v>
      </c>
      <c r="I165" s="78">
        <f>IFERROR(__xludf.DUMMYFUNCTION("+G165-H165"),0.0)</f>
        <v>0</v>
      </c>
      <c r="J165" s="78">
        <v>0.0</v>
      </c>
      <c r="K165" s="78">
        <f>IFERROR(__xludf.DUMMYFUNCTION("+I165+J165"),0.0)</f>
        <v>0</v>
      </c>
      <c r="L165" s="79">
        <f>IFERROR(__xludf.DUMMYFUNCTION("+K165/$K$190"),0.0)</f>
        <v>0</v>
      </c>
      <c r="M165" s="78">
        <f>IFERROR(__xludf.DUMMYFUNCTION("+K165/$T$9"),0.0)</f>
        <v>0</v>
      </c>
      <c r="N165" s="80">
        <f>IFERROR(__xludf.DUMMYFUNCTION("+K165-SUM(O165:AL165)"),0.0)</f>
        <v>0</v>
      </c>
      <c r="O165" s="81">
        <v>0.0</v>
      </c>
      <c r="P165" s="89">
        <v>0.0</v>
      </c>
      <c r="Q165" s="89">
        <v>0.0</v>
      </c>
      <c r="R165" s="89">
        <v>0.0</v>
      </c>
      <c r="S165" s="89">
        <v>0.0</v>
      </c>
      <c r="T165" s="89">
        <v>0.0</v>
      </c>
      <c r="U165" s="89">
        <v>0.0</v>
      </c>
      <c r="V165" s="89">
        <v>0.0</v>
      </c>
      <c r="W165" s="89">
        <v>0.0</v>
      </c>
      <c r="X165" s="89">
        <v>0.0</v>
      </c>
      <c r="Y165" s="89">
        <v>0.0</v>
      </c>
      <c r="Z165" s="89">
        <v>0.0</v>
      </c>
      <c r="AA165" s="89">
        <v>0.0</v>
      </c>
      <c r="AB165" s="89">
        <v>0.0</v>
      </c>
      <c r="AC165" s="89">
        <v>0.0</v>
      </c>
      <c r="AD165" s="89">
        <v>0.0</v>
      </c>
      <c r="AE165" s="89">
        <v>0.0</v>
      </c>
      <c r="AF165" s="89">
        <v>0.0</v>
      </c>
      <c r="AG165" s="89">
        <v>0.0</v>
      </c>
      <c r="AH165" s="89">
        <v>0.0</v>
      </c>
      <c r="AI165" s="89">
        <v>0.0</v>
      </c>
      <c r="AJ165" s="89">
        <v>0.0</v>
      </c>
      <c r="AK165" s="90">
        <v>0.0</v>
      </c>
      <c r="AL165" s="85"/>
      <c r="AM165" s="85">
        <f t="shared" si="1"/>
        <v>0</v>
      </c>
      <c r="AN165" s="86" t="str">
        <f t="shared" si="2"/>
        <v/>
      </c>
      <c r="AO165" s="13"/>
    </row>
    <row r="166" ht="30.0" hidden="1" customHeight="1">
      <c r="A166" s="4" t="str">
        <f>IFERROR(VLOOKUP(C166,'Product List'!$A$2:$C198,2,FALSE),"")</f>
        <v/>
      </c>
      <c r="B166" s="5" t="str">
        <f>IFERROR(VLOOKUP(C166,'Product List'!$A$2:$C198,3,FALSE),"")</f>
        <v/>
      </c>
      <c r="C166" s="6"/>
      <c r="D166" s="5"/>
      <c r="E166" s="76">
        <f>IFERROR(__xludf.DUMMYFUNCTION("+E165+1"),151.0)</f>
        <v>151</v>
      </c>
      <c r="F166" s="77"/>
      <c r="G166" s="78">
        <v>0.0</v>
      </c>
      <c r="H166" s="78">
        <v>0.0</v>
      </c>
      <c r="I166" s="78">
        <f>IFERROR(__xludf.DUMMYFUNCTION("+G166-H166"),0.0)</f>
        <v>0</v>
      </c>
      <c r="J166" s="78">
        <v>0.0</v>
      </c>
      <c r="K166" s="78">
        <f>IFERROR(__xludf.DUMMYFUNCTION("+I166+J166"),0.0)</f>
        <v>0</v>
      </c>
      <c r="L166" s="79">
        <f>IFERROR(__xludf.DUMMYFUNCTION("+K166/$K$190"),0.0)</f>
        <v>0</v>
      </c>
      <c r="M166" s="78">
        <f>IFERROR(__xludf.DUMMYFUNCTION("+K166/$T$9"),0.0)</f>
        <v>0</v>
      </c>
      <c r="N166" s="80">
        <f>IFERROR(__xludf.DUMMYFUNCTION("+K166-SUM(O166:AL166)"),0.0)</f>
        <v>0</v>
      </c>
      <c r="O166" s="81">
        <v>0.0</v>
      </c>
      <c r="P166" s="89">
        <v>0.0</v>
      </c>
      <c r="Q166" s="89">
        <v>0.0</v>
      </c>
      <c r="R166" s="89">
        <v>0.0</v>
      </c>
      <c r="S166" s="89">
        <v>0.0</v>
      </c>
      <c r="T166" s="89">
        <v>0.0</v>
      </c>
      <c r="U166" s="89">
        <v>0.0</v>
      </c>
      <c r="V166" s="89">
        <v>0.0</v>
      </c>
      <c r="W166" s="89">
        <v>0.0</v>
      </c>
      <c r="X166" s="89">
        <v>0.0</v>
      </c>
      <c r="Y166" s="89">
        <v>0.0</v>
      </c>
      <c r="Z166" s="89">
        <v>0.0</v>
      </c>
      <c r="AA166" s="89">
        <v>0.0</v>
      </c>
      <c r="AB166" s="89">
        <v>0.0</v>
      </c>
      <c r="AC166" s="89">
        <v>0.0</v>
      </c>
      <c r="AD166" s="89">
        <v>0.0</v>
      </c>
      <c r="AE166" s="89">
        <v>0.0</v>
      </c>
      <c r="AF166" s="89">
        <v>0.0</v>
      </c>
      <c r="AG166" s="89">
        <v>0.0</v>
      </c>
      <c r="AH166" s="89">
        <v>0.0</v>
      </c>
      <c r="AI166" s="89">
        <v>0.0</v>
      </c>
      <c r="AJ166" s="89">
        <v>0.0</v>
      </c>
      <c r="AK166" s="90">
        <v>0.0</v>
      </c>
      <c r="AL166" s="85"/>
      <c r="AM166" s="85">
        <f t="shared" si="1"/>
        <v>0</v>
      </c>
      <c r="AN166" s="86" t="str">
        <f t="shared" si="2"/>
        <v/>
      </c>
      <c r="AO166" s="13"/>
    </row>
    <row r="167" ht="30.0" hidden="1" customHeight="1">
      <c r="A167" s="4" t="str">
        <f>IFERROR(VLOOKUP(C167,'Product List'!$A$2:$C198,2,FALSE),"")</f>
        <v/>
      </c>
      <c r="B167" s="5" t="str">
        <f>IFERROR(VLOOKUP(C167,'Product List'!$A$2:$C198,3,FALSE),"")</f>
        <v/>
      </c>
      <c r="C167" s="6"/>
      <c r="D167" s="5"/>
      <c r="E167" s="76">
        <f>IFERROR(__xludf.DUMMYFUNCTION("+E166+1"),152.0)</f>
        <v>152</v>
      </c>
      <c r="F167" s="77"/>
      <c r="G167" s="78">
        <v>0.0</v>
      </c>
      <c r="H167" s="78">
        <v>0.0</v>
      </c>
      <c r="I167" s="78">
        <f>IFERROR(__xludf.DUMMYFUNCTION("+G167-H167"),0.0)</f>
        <v>0</v>
      </c>
      <c r="J167" s="78">
        <v>0.0</v>
      </c>
      <c r="K167" s="78">
        <f>IFERROR(__xludf.DUMMYFUNCTION("+I167+J167"),0.0)</f>
        <v>0</v>
      </c>
      <c r="L167" s="79">
        <f>IFERROR(__xludf.DUMMYFUNCTION("+K167/$K$190"),0.0)</f>
        <v>0</v>
      </c>
      <c r="M167" s="78">
        <f>IFERROR(__xludf.DUMMYFUNCTION("+K167/$T$9"),0.0)</f>
        <v>0</v>
      </c>
      <c r="N167" s="80">
        <f>IFERROR(__xludf.DUMMYFUNCTION("+K167-SUM(O167:AL167)"),0.0)</f>
        <v>0</v>
      </c>
      <c r="O167" s="81">
        <v>0.0</v>
      </c>
      <c r="P167" s="89">
        <v>0.0</v>
      </c>
      <c r="Q167" s="89">
        <v>0.0</v>
      </c>
      <c r="R167" s="89">
        <v>0.0</v>
      </c>
      <c r="S167" s="89">
        <v>0.0</v>
      </c>
      <c r="T167" s="89">
        <v>0.0</v>
      </c>
      <c r="U167" s="89">
        <v>0.0</v>
      </c>
      <c r="V167" s="89">
        <v>0.0</v>
      </c>
      <c r="W167" s="89">
        <v>0.0</v>
      </c>
      <c r="X167" s="89">
        <v>0.0</v>
      </c>
      <c r="Y167" s="89">
        <v>0.0</v>
      </c>
      <c r="Z167" s="89">
        <v>0.0</v>
      </c>
      <c r="AA167" s="89">
        <v>0.0</v>
      </c>
      <c r="AB167" s="89">
        <v>0.0</v>
      </c>
      <c r="AC167" s="89">
        <v>0.0</v>
      </c>
      <c r="AD167" s="89">
        <v>0.0</v>
      </c>
      <c r="AE167" s="89">
        <v>0.0</v>
      </c>
      <c r="AF167" s="89">
        <v>0.0</v>
      </c>
      <c r="AG167" s="89">
        <v>0.0</v>
      </c>
      <c r="AH167" s="89">
        <v>0.0</v>
      </c>
      <c r="AI167" s="89">
        <v>0.0</v>
      </c>
      <c r="AJ167" s="89">
        <v>0.0</v>
      </c>
      <c r="AK167" s="90">
        <v>0.0</v>
      </c>
      <c r="AL167" s="85"/>
      <c r="AM167" s="85">
        <f t="shared" si="1"/>
        <v>0</v>
      </c>
      <c r="AN167" s="86" t="str">
        <f t="shared" si="2"/>
        <v/>
      </c>
      <c r="AO167" s="13"/>
    </row>
    <row r="168" ht="30.0" hidden="1" customHeight="1">
      <c r="A168" s="4" t="str">
        <f>IFERROR(VLOOKUP(C168,'Product List'!$A$2:$C198,2,FALSE),"")</f>
        <v/>
      </c>
      <c r="B168" s="5" t="str">
        <f>IFERROR(VLOOKUP(C168,'Product List'!$A$2:$C198,3,FALSE),"")</f>
        <v/>
      </c>
      <c r="C168" s="6"/>
      <c r="D168" s="5"/>
      <c r="E168" s="76">
        <f>IFERROR(__xludf.DUMMYFUNCTION("+E167+1"),153.0)</f>
        <v>153</v>
      </c>
      <c r="F168" s="77"/>
      <c r="G168" s="78">
        <v>0.0</v>
      </c>
      <c r="H168" s="78">
        <v>0.0</v>
      </c>
      <c r="I168" s="78">
        <f>IFERROR(__xludf.DUMMYFUNCTION("+G168-H168"),0.0)</f>
        <v>0</v>
      </c>
      <c r="J168" s="78">
        <v>0.0</v>
      </c>
      <c r="K168" s="78">
        <f>IFERROR(__xludf.DUMMYFUNCTION("+I168+J168"),0.0)</f>
        <v>0</v>
      </c>
      <c r="L168" s="79">
        <f>IFERROR(__xludf.DUMMYFUNCTION("+K168/$K$190"),0.0)</f>
        <v>0</v>
      </c>
      <c r="M168" s="78">
        <f>IFERROR(__xludf.DUMMYFUNCTION("+K168/$T$9"),0.0)</f>
        <v>0</v>
      </c>
      <c r="N168" s="80">
        <f>IFERROR(__xludf.DUMMYFUNCTION("+K168-SUM(O168:AL168)"),0.0)</f>
        <v>0</v>
      </c>
      <c r="O168" s="81">
        <v>0.0</v>
      </c>
      <c r="P168" s="89">
        <v>0.0</v>
      </c>
      <c r="Q168" s="89">
        <v>0.0</v>
      </c>
      <c r="R168" s="89">
        <v>0.0</v>
      </c>
      <c r="S168" s="89">
        <v>0.0</v>
      </c>
      <c r="T168" s="89">
        <v>0.0</v>
      </c>
      <c r="U168" s="89">
        <v>0.0</v>
      </c>
      <c r="V168" s="89">
        <v>0.0</v>
      </c>
      <c r="W168" s="89">
        <v>0.0</v>
      </c>
      <c r="X168" s="89">
        <v>0.0</v>
      </c>
      <c r="Y168" s="89">
        <v>0.0</v>
      </c>
      <c r="Z168" s="89">
        <v>0.0</v>
      </c>
      <c r="AA168" s="89">
        <v>0.0</v>
      </c>
      <c r="AB168" s="89">
        <v>0.0</v>
      </c>
      <c r="AC168" s="89">
        <v>0.0</v>
      </c>
      <c r="AD168" s="89">
        <v>0.0</v>
      </c>
      <c r="AE168" s="89">
        <v>0.0</v>
      </c>
      <c r="AF168" s="89">
        <v>0.0</v>
      </c>
      <c r="AG168" s="89">
        <v>0.0</v>
      </c>
      <c r="AH168" s="89">
        <v>0.0</v>
      </c>
      <c r="AI168" s="89">
        <v>0.0</v>
      </c>
      <c r="AJ168" s="89">
        <v>0.0</v>
      </c>
      <c r="AK168" s="90">
        <v>0.0</v>
      </c>
      <c r="AL168" s="85"/>
      <c r="AM168" s="85">
        <f t="shared" si="1"/>
        <v>0</v>
      </c>
      <c r="AN168" s="86" t="str">
        <f t="shared" si="2"/>
        <v/>
      </c>
      <c r="AO168" s="13"/>
    </row>
    <row r="169" ht="30.0" hidden="1" customHeight="1">
      <c r="A169" s="4" t="str">
        <f>IFERROR(VLOOKUP(C169,'Product List'!$A$2:$C198,2,FALSE),"")</f>
        <v/>
      </c>
      <c r="B169" s="5" t="str">
        <f>IFERROR(VLOOKUP(C169,'Product List'!$A$2:$C198,3,FALSE),"")</f>
        <v/>
      </c>
      <c r="C169" s="6"/>
      <c r="D169" s="5"/>
      <c r="E169" s="76">
        <f>IFERROR(__xludf.DUMMYFUNCTION("+E168+1"),154.0)</f>
        <v>154</v>
      </c>
      <c r="F169" s="77"/>
      <c r="G169" s="78">
        <v>0.0</v>
      </c>
      <c r="H169" s="78">
        <v>0.0</v>
      </c>
      <c r="I169" s="78">
        <f>IFERROR(__xludf.DUMMYFUNCTION("+G169-H169"),0.0)</f>
        <v>0</v>
      </c>
      <c r="J169" s="78">
        <v>0.0</v>
      </c>
      <c r="K169" s="78">
        <f>IFERROR(__xludf.DUMMYFUNCTION("+I169+J169"),0.0)</f>
        <v>0</v>
      </c>
      <c r="L169" s="79">
        <f>IFERROR(__xludf.DUMMYFUNCTION("+K169/$K$190"),0.0)</f>
        <v>0</v>
      </c>
      <c r="M169" s="78">
        <f>IFERROR(__xludf.DUMMYFUNCTION("+K169/$T$9"),0.0)</f>
        <v>0</v>
      </c>
      <c r="N169" s="80">
        <f>IFERROR(__xludf.DUMMYFUNCTION("+K169-SUM(O169:AL169)"),0.0)</f>
        <v>0</v>
      </c>
      <c r="O169" s="81">
        <v>0.0</v>
      </c>
      <c r="P169" s="89">
        <v>0.0</v>
      </c>
      <c r="Q169" s="89">
        <v>0.0</v>
      </c>
      <c r="R169" s="89">
        <v>0.0</v>
      </c>
      <c r="S169" s="89">
        <v>0.0</v>
      </c>
      <c r="T169" s="89">
        <v>0.0</v>
      </c>
      <c r="U169" s="89">
        <v>0.0</v>
      </c>
      <c r="V169" s="89">
        <v>0.0</v>
      </c>
      <c r="W169" s="89">
        <v>0.0</v>
      </c>
      <c r="X169" s="89">
        <v>0.0</v>
      </c>
      <c r="Y169" s="89">
        <v>0.0</v>
      </c>
      <c r="Z169" s="89">
        <v>0.0</v>
      </c>
      <c r="AA169" s="89">
        <v>0.0</v>
      </c>
      <c r="AB169" s="89">
        <v>0.0</v>
      </c>
      <c r="AC169" s="89">
        <v>0.0</v>
      </c>
      <c r="AD169" s="89">
        <v>0.0</v>
      </c>
      <c r="AE169" s="89">
        <v>0.0</v>
      </c>
      <c r="AF169" s="89">
        <v>0.0</v>
      </c>
      <c r="AG169" s="89">
        <v>0.0</v>
      </c>
      <c r="AH169" s="89">
        <v>0.0</v>
      </c>
      <c r="AI169" s="89">
        <v>0.0</v>
      </c>
      <c r="AJ169" s="89">
        <v>0.0</v>
      </c>
      <c r="AK169" s="90">
        <v>0.0</v>
      </c>
      <c r="AL169" s="85"/>
      <c r="AM169" s="85">
        <f t="shared" si="1"/>
        <v>0</v>
      </c>
      <c r="AN169" s="86" t="str">
        <f t="shared" si="2"/>
        <v/>
      </c>
      <c r="AO169" s="13"/>
    </row>
    <row r="170" ht="30.0" hidden="1" customHeight="1">
      <c r="A170" s="4" t="str">
        <f>IFERROR(VLOOKUP(C170,'Product List'!$A$2:$C198,2,FALSE),"")</f>
        <v/>
      </c>
      <c r="B170" s="5" t="str">
        <f>IFERROR(VLOOKUP(C170,'Product List'!$A$2:$C198,3,FALSE),"")</f>
        <v/>
      </c>
      <c r="C170" s="6"/>
      <c r="D170" s="5"/>
      <c r="E170" s="76">
        <f>IFERROR(__xludf.DUMMYFUNCTION("+E169+1"),155.0)</f>
        <v>155</v>
      </c>
      <c r="F170" s="77"/>
      <c r="G170" s="78">
        <v>0.0</v>
      </c>
      <c r="H170" s="78">
        <v>0.0</v>
      </c>
      <c r="I170" s="78">
        <f>IFERROR(__xludf.DUMMYFUNCTION("+G170-H170"),0.0)</f>
        <v>0</v>
      </c>
      <c r="J170" s="78">
        <v>0.0</v>
      </c>
      <c r="K170" s="78">
        <f>IFERROR(__xludf.DUMMYFUNCTION("+I170+J170"),0.0)</f>
        <v>0</v>
      </c>
      <c r="L170" s="79">
        <f>IFERROR(__xludf.DUMMYFUNCTION("+K170/$K$190"),0.0)</f>
        <v>0</v>
      </c>
      <c r="M170" s="78">
        <f>IFERROR(__xludf.DUMMYFUNCTION("+K170/$T$9"),0.0)</f>
        <v>0</v>
      </c>
      <c r="N170" s="80">
        <f>IFERROR(__xludf.DUMMYFUNCTION("+K170-SUM(O170:AL170)"),0.0)</f>
        <v>0</v>
      </c>
      <c r="O170" s="81">
        <v>0.0</v>
      </c>
      <c r="P170" s="89">
        <v>0.0</v>
      </c>
      <c r="Q170" s="89">
        <v>0.0</v>
      </c>
      <c r="R170" s="89">
        <v>0.0</v>
      </c>
      <c r="S170" s="89">
        <v>0.0</v>
      </c>
      <c r="T170" s="89">
        <v>0.0</v>
      </c>
      <c r="U170" s="89">
        <v>0.0</v>
      </c>
      <c r="V170" s="89">
        <v>0.0</v>
      </c>
      <c r="W170" s="89">
        <v>0.0</v>
      </c>
      <c r="X170" s="89">
        <v>0.0</v>
      </c>
      <c r="Y170" s="89">
        <v>0.0</v>
      </c>
      <c r="Z170" s="89">
        <v>0.0</v>
      </c>
      <c r="AA170" s="89">
        <v>0.0</v>
      </c>
      <c r="AB170" s="89">
        <v>0.0</v>
      </c>
      <c r="AC170" s="89">
        <v>0.0</v>
      </c>
      <c r="AD170" s="89">
        <v>0.0</v>
      </c>
      <c r="AE170" s="89">
        <v>0.0</v>
      </c>
      <c r="AF170" s="89">
        <v>0.0</v>
      </c>
      <c r="AG170" s="89">
        <v>0.0</v>
      </c>
      <c r="AH170" s="89">
        <v>0.0</v>
      </c>
      <c r="AI170" s="89">
        <v>0.0</v>
      </c>
      <c r="AJ170" s="89">
        <v>0.0</v>
      </c>
      <c r="AK170" s="90">
        <v>0.0</v>
      </c>
      <c r="AL170" s="85"/>
      <c r="AM170" s="85">
        <f t="shared" si="1"/>
        <v>0</v>
      </c>
      <c r="AN170" s="86" t="str">
        <f t="shared" si="2"/>
        <v/>
      </c>
      <c r="AO170" s="13"/>
    </row>
    <row r="171" ht="30.0" hidden="1" customHeight="1">
      <c r="A171" s="4" t="str">
        <f>IFERROR(VLOOKUP(C171,'Product List'!$A$2:$C198,2,FALSE),"")</f>
        <v/>
      </c>
      <c r="B171" s="5" t="str">
        <f>IFERROR(VLOOKUP(C171,'Product List'!$A$2:$C198,3,FALSE),"")</f>
        <v/>
      </c>
      <c r="C171" s="6"/>
      <c r="D171" s="5"/>
      <c r="E171" s="76">
        <f>IFERROR(__xludf.DUMMYFUNCTION("+E170+1"),156.0)</f>
        <v>156</v>
      </c>
      <c r="F171" s="77"/>
      <c r="G171" s="78">
        <v>0.0</v>
      </c>
      <c r="H171" s="78">
        <v>0.0</v>
      </c>
      <c r="I171" s="78">
        <f>IFERROR(__xludf.DUMMYFUNCTION("+G171-H171"),0.0)</f>
        <v>0</v>
      </c>
      <c r="J171" s="78">
        <v>0.0</v>
      </c>
      <c r="K171" s="78">
        <f>IFERROR(__xludf.DUMMYFUNCTION("+I171+J171"),0.0)</f>
        <v>0</v>
      </c>
      <c r="L171" s="79">
        <f>IFERROR(__xludf.DUMMYFUNCTION("+K171/$K$190"),0.0)</f>
        <v>0</v>
      </c>
      <c r="M171" s="78">
        <f>IFERROR(__xludf.DUMMYFUNCTION("+K171/$T$9"),0.0)</f>
        <v>0</v>
      </c>
      <c r="N171" s="80">
        <f>IFERROR(__xludf.DUMMYFUNCTION("+K171-SUM(O171:AL171)"),0.0)</f>
        <v>0</v>
      </c>
      <c r="O171" s="81">
        <v>0.0</v>
      </c>
      <c r="P171" s="89">
        <v>0.0</v>
      </c>
      <c r="Q171" s="89">
        <v>0.0</v>
      </c>
      <c r="R171" s="89">
        <v>0.0</v>
      </c>
      <c r="S171" s="89">
        <v>0.0</v>
      </c>
      <c r="T171" s="89">
        <v>0.0</v>
      </c>
      <c r="U171" s="89">
        <v>0.0</v>
      </c>
      <c r="V171" s="89">
        <v>0.0</v>
      </c>
      <c r="W171" s="89">
        <v>0.0</v>
      </c>
      <c r="X171" s="89">
        <v>0.0</v>
      </c>
      <c r="Y171" s="89">
        <v>0.0</v>
      </c>
      <c r="Z171" s="89">
        <v>0.0</v>
      </c>
      <c r="AA171" s="89">
        <v>0.0</v>
      </c>
      <c r="AB171" s="89">
        <v>0.0</v>
      </c>
      <c r="AC171" s="89">
        <v>0.0</v>
      </c>
      <c r="AD171" s="89">
        <v>0.0</v>
      </c>
      <c r="AE171" s="89">
        <v>0.0</v>
      </c>
      <c r="AF171" s="89">
        <v>0.0</v>
      </c>
      <c r="AG171" s="89">
        <v>0.0</v>
      </c>
      <c r="AH171" s="89">
        <v>0.0</v>
      </c>
      <c r="AI171" s="89">
        <v>0.0</v>
      </c>
      <c r="AJ171" s="89">
        <v>0.0</v>
      </c>
      <c r="AK171" s="90">
        <v>0.0</v>
      </c>
      <c r="AL171" s="85"/>
      <c r="AM171" s="85">
        <f t="shared" si="1"/>
        <v>0</v>
      </c>
      <c r="AN171" s="86" t="str">
        <f t="shared" si="2"/>
        <v/>
      </c>
      <c r="AO171" s="13"/>
    </row>
    <row r="172" ht="30.0" hidden="1" customHeight="1">
      <c r="A172" s="4" t="str">
        <f>IFERROR(VLOOKUP(C172,'Product List'!$A$2:$C198,2,FALSE),"")</f>
        <v/>
      </c>
      <c r="B172" s="5" t="str">
        <f>IFERROR(VLOOKUP(C172,'Product List'!$A$2:$C198,3,FALSE),"")</f>
        <v/>
      </c>
      <c r="C172" s="6"/>
      <c r="D172" s="5"/>
      <c r="E172" s="76">
        <f>IFERROR(__xludf.DUMMYFUNCTION("+E171+1"),157.0)</f>
        <v>157</v>
      </c>
      <c r="F172" s="77"/>
      <c r="G172" s="78">
        <v>0.0</v>
      </c>
      <c r="H172" s="78">
        <v>0.0</v>
      </c>
      <c r="I172" s="78">
        <f>IFERROR(__xludf.DUMMYFUNCTION("+G172-H172"),0.0)</f>
        <v>0</v>
      </c>
      <c r="J172" s="78">
        <v>0.0</v>
      </c>
      <c r="K172" s="78">
        <f>IFERROR(__xludf.DUMMYFUNCTION("+I172+J172"),0.0)</f>
        <v>0</v>
      </c>
      <c r="L172" s="79">
        <f>IFERROR(__xludf.DUMMYFUNCTION("+K172/$K$190"),0.0)</f>
        <v>0</v>
      </c>
      <c r="M172" s="78">
        <f>IFERROR(__xludf.DUMMYFUNCTION("+K172/$T$9"),0.0)</f>
        <v>0</v>
      </c>
      <c r="N172" s="80">
        <f>IFERROR(__xludf.DUMMYFUNCTION("+K172-SUM(O172:AL172)"),0.0)</f>
        <v>0</v>
      </c>
      <c r="O172" s="81">
        <v>0.0</v>
      </c>
      <c r="P172" s="89">
        <v>0.0</v>
      </c>
      <c r="Q172" s="89">
        <v>0.0</v>
      </c>
      <c r="R172" s="89">
        <v>0.0</v>
      </c>
      <c r="S172" s="89">
        <v>0.0</v>
      </c>
      <c r="T172" s="89">
        <v>0.0</v>
      </c>
      <c r="U172" s="89">
        <v>0.0</v>
      </c>
      <c r="V172" s="89">
        <v>0.0</v>
      </c>
      <c r="W172" s="89">
        <v>0.0</v>
      </c>
      <c r="X172" s="89">
        <v>0.0</v>
      </c>
      <c r="Y172" s="89">
        <v>0.0</v>
      </c>
      <c r="Z172" s="89">
        <v>0.0</v>
      </c>
      <c r="AA172" s="89">
        <v>0.0</v>
      </c>
      <c r="AB172" s="89">
        <v>0.0</v>
      </c>
      <c r="AC172" s="89">
        <v>0.0</v>
      </c>
      <c r="AD172" s="89">
        <v>0.0</v>
      </c>
      <c r="AE172" s="89">
        <v>0.0</v>
      </c>
      <c r="AF172" s="89">
        <v>0.0</v>
      </c>
      <c r="AG172" s="89">
        <v>0.0</v>
      </c>
      <c r="AH172" s="89">
        <v>0.0</v>
      </c>
      <c r="AI172" s="89">
        <v>0.0</v>
      </c>
      <c r="AJ172" s="89">
        <v>0.0</v>
      </c>
      <c r="AK172" s="90">
        <v>0.0</v>
      </c>
      <c r="AL172" s="85"/>
      <c r="AM172" s="85">
        <f t="shared" si="1"/>
        <v>0</v>
      </c>
      <c r="AN172" s="86" t="str">
        <f t="shared" si="2"/>
        <v/>
      </c>
      <c r="AO172" s="13"/>
    </row>
    <row r="173" ht="30.0" hidden="1" customHeight="1">
      <c r="A173" s="4" t="str">
        <f>IFERROR(VLOOKUP(C173,'Product List'!$A$2:$C198,2,FALSE),"")</f>
        <v/>
      </c>
      <c r="B173" s="5" t="str">
        <f>IFERROR(VLOOKUP(C173,'Product List'!$A$2:$C198,3,FALSE),"")</f>
        <v/>
      </c>
      <c r="C173" s="6"/>
      <c r="D173" s="5"/>
      <c r="E173" s="76">
        <f>IFERROR(__xludf.DUMMYFUNCTION("+E172+1"),158.0)</f>
        <v>158</v>
      </c>
      <c r="F173" s="77"/>
      <c r="G173" s="78">
        <v>0.0</v>
      </c>
      <c r="H173" s="78">
        <v>0.0</v>
      </c>
      <c r="I173" s="78">
        <f>IFERROR(__xludf.DUMMYFUNCTION("+G173-H173"),0.0)</f>
        <v>0</v>
      </c>
      <c r="J173" s="78">
        <v>0.0</v>
      </c>
      <c r="K173" s="78">
        <f>IFERROR(__xludf.DUMMYFUNCTION("+I173+J173"),0.0)</f>
        <v>0</v>
      </c>
      <c r="L173" s="79">
        <f>IFERROR(__xludf.DUMMYFUNCTION("+K173/$K$190"),0.0)</f>
        <v>0</v>
      </c>
      <c r="M173" s="78">
        <f>IFERROR(__xludf.DUMMYFUNCTION("+K173/$T$9"),0.0)</f>
        <v>0</v>
      </c>
      <c r="N173" s="80">
        <f>IFERROR(__xludf.DUMMYFUNCTION("+K173-SUM(O173:AL173)"),0.0)</f>
        <v>0</v>
      </c>
      <c r="O173" s="81">
        <v>0.0</v>
      </c>
      <c r="P173" s="89">
        <v>0.0</v>
      </c>
      <c r="Q173" s="89">
        <v>0.0</v>
      </c>
      <c r="R173" s="89">
        <v>0.0</v>
      </c>
      <c r="S173" s="89">
        <v>0.0</v>
      </c>
      <c r="T173" s="89">
        <v>0.0</v>
      </c>
      <c r="U173" s="89">
        <v>0.0</v>
      </c>
      <c r="V173" s="89">
        <v>0.0</v>
      </c>
      <c r="W173" s="89">
        <v>0.0</v>
      </c>
      <c r="X173" s="89">
        <v>0.0</v>
      </c>
      <c r="Y173" s="89">
        <v>0.0</v>
      </c>
      <c r="Z173" s="89">
        <v>0.0</v>
      </c>
      <c r="AA173" s="89">
        <v>0.0</v>
      </c>
      <c r="AB173" s="89">
        <v>0.0</v>
      </c>
      <c r="AC173" s="89">
        <v>0.0</v>
      </c>
      <c r="AD173" s="89">
        <v>0.0</v>
      </c>
      <c r="AE173" s="89">
        <v>0.0</v>
      </c>
      <c r="AF173" s="89">
        <v>0.0</v>
      </c>
      <c r="AG173" s="89">
        <v>0.0</v>
      </c>
      <c r="AH173" s="89">
        <v>0.0</v>
      </c>
      <c r="AI173" s="89">
        <v>0.0</v>
      </c>
      <c r="AJ173" s="89">
        <v>0.0</v>
      </c>
      <c r="AK173" s="90">
        <v>0.0</v>
      </c>
      <c r="AL173" s="85"/>
      <c r="AM173" s="85">
        <f t="shared" si="1"/>
        <v>0</v>
      </c>
      <c r="AN173" s="86" t="str">
        <f t="shared" si="2"/>
        <v/>
      </c>
      <c r="AO173" s="13"/>
    </row>
    <row r="174" ht="30.0" hidden="1" customHeight="1">
      <c r="A174" s="4" t="str">
        <f>IFERROR(VLOOKUP(C174,'Product List'!$A$2:$C198,2,FALSE),"")</f>
        <v/>
      </c>
      <c r="B174" s="5" t="str">
        <f>IFERROR(VLOOKUP(C174,'Product List'!$A$2:$C198,3,FALSE),"")</f>
        <v/>
      </c>
      <c r="C174" s="6"/>
      <c r="D174" s="5"/>
      <c r="E174" s="76">
        <f>IFERROR(__xludf.DUMMYFUNCTION("+E173+1"),159.0)</f>
        <v>159</v>
      </c>
      <c r="F174" s="77"/>
      <c r="G174" s="78">
        <v>0.0</v>
      </c>
      <c r="H174" s="78">
        <v>0.0</v>
      </c>
      <c r="I174" s="78">
        <f>IFERROR(__xludf.DUMMYFUNCTION("+G174-H174"),0.0)</f>
        <v>0</v>
      </c>
      <c r="J174" s="78">
        <v>0.0</v>
      </c>
      <c r="K174" s="78">
        <f>IFERROR(__xludf.DUMMYFUNCTION("+I174+J174"),0.0)</f>
        <v>0</v>
      </c>
      <c r="L174" s="79">
        <f>IFERROR(__xludf.DUMMYFUNCTION("+K174/$K$190"),0.0)</f>
        <v>0</v>
      </c>
      <c r="M174" s="78">
        <f>IFERROR(__xludf.DUMMYFUNCTION("+K174/$T$9"),0.0)</f>
        <v>0</v>
      </c>
      <c r="N174" s="80">
        <f>IFERROR(__xludf.DUMMYFUNCTION("+K174-SUM(O174:AL174)"),0.0)</f>
        <v>0</v>
      </c>
      <c r="O174" s="81">
        <v>0.0</v>
      </c>
      <c r="P174" s="89">
        <v>0.0</v>
      </c>
      <c r="Q174" s="89">
        <v>0.0</v>
      </c>
      <c r="R174" s="89">
        <v>0.0</v>
      </c>
      <c r="S174" s="89">
        <v>0.0</v>
      </c>
      <c r="T174" s="89">
        <v>0.0</v>
      </c>
      <c r="U174" s="89">
        <v>0.0</v>
      </c>
      <c r="V174" s="89">
        <v>0.0</v>
      </c>
      <c r="W174" s="89">
        <v>0.0</v>
      </c>
      <c r="X174" s="89">
        <v>0.0</v>
      </c>
      <c r="Y174" s="89">
        <v>0.0</v>
      </c>
      <c r="Z174" s="89">
        <v>0.0</v>
      </c>
      <c r="AA174" s="89">
        <v>0.0</v>
      </c>
      <c r="AB174" s="89">
        <v>0.0</v>
      </c>
      <c r="AC174" s="89">
        <v>0.0</v>
      </c>
      <c r="AD174" s="89">
        <v>0.0</v>
      </c>
      <c r="AE174" s="89">
        <v>0.0</v>
      </c>
      <c r="AF174" s="89">
        <v>0.0</v>
      </c>
      <c r="AG174" s="89">
        <v>0.0</v>
      </c>
      <c r="AH174" s="89">
        <v>0.0</v>
      </c>
      <c r="AI174" s="89">
        <v>0.0</v>
      </c>
      <c r="AJ174" s="89">
        <v>0.0</v>
      </c>
      <c r="AK174" s="90">
        <v>0.0</v>
      </c>
      <c r="AL174" s="85"/>
      <c r="AM174" s="85">
        <f t="shared" si="1"/>
        <v>0</v>
      </c>
      <c r="AN174" s="86" t="str">
        <f t="shared" si="2"/>
        <v/>
      </c>
      <c r="AO174" s="13"/>
    </row>
    <row r="175" ht="30.0" hidden="1" customHeight="1">
      <c r="A175" s="4" t="str">
        <f>IFERROR(VLOOKUP(C175,'Product List'!$A$2:$C198,2,FALSE),"")</f>
        <v/>
      </c>
      <c r="B175" s="5" t="str">
        <f>IFERROR(VLOOKUP(C175,'Product List'!$A$2:$C198,3,FALSE),"")</f>
        <v/>
      </c>
      <c r="C175" s="6"/>
      <c r="D175" s="5"/>
      <c r="E175" s="76">
        <f>IFERROR(__xludf.DUMMYFUNCTION("+E174+1"),160.0)</f>
        <v>160</v>
      </c>
      <c r="F175" s="77"/>
      <c r="G175" s="78">
        <v>0.0</v>
      </c>
      <c r="H175" s="78">
        <v>0.0</v>
      </c>
      <c r="I175" s="78">
        <f>IFERROR(__xludf.DUMMYFUNCTION("+G175-H175"),0.0)</f>
        <v>0</v>
      </c>
      <c r="J175" s="78">
        <v>0.0</v>
      </c>
      <c r="K175" s="78">
        <f>IFERROR(__xludf.DUMMYFUNCTION("+I175+J175"),0.0)</f>
        <v>0</v>
      </c>
      <c r="L175" s="79">
        <f>IFERROR(__xludf.DUMMYFUNCTION("+K175/$K$190"),0.0)</f>
        <v>0</v>
      </c>
      <c r="M175" s="78">
        <f>IFERROR(__xludf.DUMMYFUNCTION("+K175/$T$9"),0.0)</f>
        <v>0</v>
      </c>
      <c r="N175" s="80">
        <f>IFERROR(__xludf.DUMMYFUNCTION("+K175-SUM(O175:AL175)"),0.0)</f>
        <v>0</v>
      </c>
      <c r="O175" s="81">
        <v>0.0</v>
      </c>
      <c r="P175" s="89">
        <v>0.0</v>
      </c>
      <c r="Q175" s="89">
        <v>0.0</v>
      </c>
      <c r="R175" s="89">
        <v>0.0</v>
      </c>
      <c r="S175" s="89">
        <v>0.0</v>
      </c>
      <c r="T175" s="89">
        <v>0.0</v>
      </c>
      <c r="U175" s="89">
        <v>0.0</v>
      </c>
      <c r="V175" s="89">
        <v>0.0</v>
      </c>
      <c r="W175" s="89">
        <v>0.0</v>
      </c>
      <c r="X175" s="89">
        <v>0.0</v>
      </c>
      <c r="Y175" s="89">
        <v>0.0</v>
      </c>
      <c r="Z175" s="89">
        <v>0.0</v>
      </c>
      <c r="AA175" s="89">
        <v>0.0</v>
      </c>
      <c r="AB175" s="89">
        <v>0.0</v>
      </c>
      <c r="AC175" s="89">
        <v>0.0</v>
      </c>
      <c r="AD175" s="89">
        <v>0.0</v>
      </c>
      <c r="AE175" s="89">
        <v>0.0</v>
      </c>
      <c r="AF175" s="89">
        <v>0.0</v>
      </c>
      <c r="AG175" s="89">
        <v>0.0</v>
      </c>
      <c r="AH175" s="89">
        <v>0.0</v>
      </c>
      <c r="AI175" s="89">
        <v>0.0</v>
      </c>
      <c r="AJ175" s="89">
        <v>0.0</v>
      </c>
      <c r="AK175" s="90">
        <v>0.0</v>
      </c>
      <c r="AL175" s="85"/>
      <c r="AM175" s="85">
        <f t="shared" si="1"/>
        <v>0</v>
      </c>
      <c r="AN175" s="86" t="str">
        <f t="shared" si="2"/>
        <v/>
      </c>
      <c r="AO175" s="13"/>
    </row>
    <row r="176" ht="30.0" hidden="1" customHeight="1">
      <c r="A176" s="4" t="str">
        <f>IFERROR(VLOOKUP(C176,'Product List'!$A$2:$C198,2,FALSE),"")</f>
        <v/>
      </c>
      <c r="B176" s="5" t="str">
        <f>IFERROR(VLOOKUP(C176,'Product List'!$A$2:$C198,3,FALSE),"")</f>
        <v/>
      </c>
      <c r="C176" s="6"/>
      <c r="D176" s="5"/>
      <c r="E176" s="76">
        <f>IFERROR(__xludf.DUMMYFUNCTION("+E175+1"),161.0)</f>
        <v>161</v>
      </c>
      <c r="F176" s="77"/>
      <c r="G176" s="78">
        <v>0.0</v>
      </c>
      <c r="H176" s="78">
        <v>0.0</v>
      </c>
      <c r="I176" s="78">
        <f>IFERROR(__xludf.DUMMYFUNCTION("+G176-H176"),0.0)</f>
        <v>0</v>
      </c>
      <c r="J176" s="78">
        <v>0.0</v>
      </c>
      <c r="K176" s="78">
        <f>IFERROR(__xludf.DUMMYFUNCTION("+I176+J176"),0.0)</f>
        <v>0</v>
      </c>
      <c r="L176" s="79">
        <f>IFERROR(__xludf.DUMMYFUNCTION("+K176/$K$190"),0.0)</f>
        <v>0</v>
      </c>
      <c r="M176" s="78">
        <f>IFERROR(__xludf.DUMMYFUNCTION("+K176/$T$9"),0.0)</f>
        <v>0</v>
      </c>
      <c r="N176" s="80">
        <f>IFERROR(__xludf.DUMMYFUNCTION("+K176-SUM(O176:AL176)"),0.0)</f>
        <v>0</v>
      </c>
      <c r="O176" s="81">
        <v>0.0</v>
      </c>
      <c r="P176" s="89">
        <v>0.0</v>
      </c>
      <c r="Q176" s="89">
        <v>0.0</v>
      </c>
      <c r="R176" s="89">
        <v>0.0</v>
      </c>
      <c r="S176" s="89">
        <v>0.0</v>
      </c>
      <c r="T176" s="89">
        <v>0.0</v>
      </c>
      <c r="U176" s="89">
        <v>0.0</v>
      </c>
      <c r="V176" s="89">
        <v>0.0</v>
      </c>
      <c r="W176" s="89">
        <v>0.0</v>
      </c>
      <c r="X176" s="89">
        <v>0.0</v>
      </c>
      <c r="Y176" s="89">
        <v>0.0</v>
      </c>
      <c r="Z176" s="89">
        <v>0.0</v>
      </c>
      <c r="AA176" s="89">
        <v>0.0</v>
      </c>
      <c r="AB176" s="89">
        <v>0.0</v>
      </c>
      <c r="AC176" s="89">
        <v>0.0</v>
      </c>
      <c r="AD176" s="89">
        <v>0.0</v>
      </c>
      <c r="AE176" s="89">
        <v>0.0</v>
      </c>
      <c r="AF176" s="89">
        <v>0.0</v>
      </c>
      <c r="AG176" s="89">
        <v>0.0</v>
      </c>
      <c r="AH176" s="89">
        <v>0.0</v>
      </c>
      <c r="AI176" s="89">
        <v>0.0</v>
      </c>
      <c r="AJ176" s="89">
        <v>0.0</v>
      </c>
      <c r="AK176" s="90">
        <v>0.0</v>
      </c>
      <c r="AL176" s="85"/>
      <c r="AM176" s="85">
        <f t="shared" si="1"/>
        <v>0</v>
      </c>
      <c r="AN176" s="86" t="str">
        <f t="shared" si="2"/>
        <v/>
      </c>
      <c r="AO176" s="13"/>
    </row>
    <row r="177" ht="30.0" hidden="1" customHeight="1">
      <c r="A177" s="4" t="str">
        <f>IFERROR(VLOOKUP(C177,'Product List'!$A$2:$C198,2,FALSE),"")</f>
        <v/>
      </c>
      <c r="B177" s="5" t="str">
        <f>IFERROR(VLOOKUP(C177,'Product List'!$A$2:$C198,3,FALSE),"")</f>
        <v/>
      </c>
      <c r="C177" s="6"/>
      <c r="D177" s="5"/>
      <c r="E177" s="76">
        <f>IFERROR(__xludf.DUMMYFUNCTION("+E176+1"),162.0)</f>
        <v>162</v>
      </c>
      <c r="F177" s="77"/>
      <c r="G177" s="78">
        <v>0.0</v>
      </c>
      <c r="H177" s="78">
        <v>0.0</v>
      </c>
      <c r="I177" s="78">
        <f>IFERROR(__xludf.DUMMYFUNCTION("+G177-H177"),0.0)</f>
        <v>0</v>
      </c>
      <c r="J177" s="78">
        <v>0.0</v>
      </c>
      <c r="K177" s="78">
        <f>IFERROR(__xludf.DUMMYFUNCTION("+I177+J177"),0.0)</f>
        <v>0</v>
      </c>
      <c r="L177" s="79">
        <f>IFERROR(__xludf.DUMMYFUNCTION("+K177/$K$190"),0.0)</f>
        <v>0</v>
      </c>
      <c r="M177" s="78">
        <f>IFERROR(__xludf.DUMMYFUNCTION("+K177/$T$9"),0.0)</f>
        <v>0</v>
      </c>
      <c r="N177" s="80">
        <f>IFERROR(__xludf.DUMMYFUNCTION("+K177-SUM(O177:AL177)"),0.0)</f>
        <v>0</v>
      </c>
      <c r="O177" s="81">
        <v>0.0</v>
      </c>
      <c r="P177" s="89">
        <v>0.0</v>
      </c>
      <c r="Q177" s="89">
        <v>0.0</v>
      </c>
      <c r="R177" s="89">
        <v>0.0</v>
      </c>
      <c r="S177" s="89">
        <v>0.0</v>
      </c>
      <c r="T177" s="89">
        <v>0.0</v>
      </c>
      <c r="U177" s="89">
        <v>0.0</v>
      </c>
      <c r="V177" s="89">
        <v>0.0</v>
      </c>
      <c r="W177" s="89">
        <v>0.0</v>
      </c>
      <c r="X177" s="89">
        <v>0.0</v>
      </c>
      <c r="Y177" s="89">
        <v>0.0</v>
      </c>
      <c r="Z177" s="89">
        <v>0.0</v>
      </c>
      <c r="AA177" s="89">
        <v>0.0</v>
      </c>
      <c r="AB177" s="89">
        <v>0.0</v>
      </c>
      <c r="AC177" s="89">
        <v>0.0</v>
      </c>
      <c r="AD177" s="89">
        <v>0.0</v>
      </c>
      <c r="AE177" s="89">
        <v>0.0</v>
      </c>
      <c r="AF177" s="89">
        <v>0.0</v>
      </c>
      <c r="AG177" s="89">
        <v>0.0</v>
      </c>
      <c r="AH177" s="89">
        <v>0.0</v>
      </c>
      <c r="AI177" s="89">
        <v>0.0</v>
      </c>
      <c r="AJ177" s="89">
        <v>0.0</v>
      </c>
      <c r="AK177" s="90">
        <v>0.0</v>
      </c>
      <c r="AL177" s="85"/>
      <c r="AM177" s="85">
        <f t="shared" si="1"/>
        <v>0</v>
      </c>
      <c r="AN177" s="86" t="str">
        <f t="shared" si="2"/>
        <v/>
      </c>
      <c r="AO177" s="13"/>
    </row>
    <row r="178" ht="30.0" hidden="1" customHeight="1">
      <c r="A178" s="4" t="str">
        <f>IFERROR(VLOOKUP(C178,'Product List'!$A$2:$C198,2,FALSE),"")</f>
        <v/>
      </c>
      <c r="B178" s="5" t="str">
        <f>IFERROR(VLOOKUP(C178,'Product List'!$A$2:$C198,3,FALSE),"")</f>
        <v/>
      </c>
      <c r="C178" s="6"/>
      <c r="D178" s="5"/>
      <c r="E178" s="76">
        <f>IFERROR(__xludf.DUMMYFUNCTION("+E177+1"),163.0)</f>
        <v>163</v>
      </c>
      <c r="F178" s="77"/>
      <c r="G178" s="78">
        <v>0.0</v>
      </c>
      <c r="H178" s="78">
        <v>0.0</v>
      </c>
      <c r="I178" s="78">
        <f>IFERROR(__xludf.DUMMYFUNCTION("+G178-H178"),0.0)</f>
        <v>0</v>
      </c>
      <c r="J178" s="78">
        <v>0.0</v>
      </c>
      <c r="K178" s="78">
        <f>IFERROR(__xludf.DUMMYFUNCTION("+I178+J178"),0.0)</f>
        <v>0</v>
      </c>
      <c r="L178" s="79">
        <f>IFERROR(__xludf.DUMMYFUNCTION("+K178/$K$190"),0.0)</f>
        <v>0</v>
      </c>
      <c r="M178" s="78">
        <f>IFERROR(__xludf.DUMMYFUNCTION("+K178/$T$9"),0.0)</f>
        <v>0</v>
      </c>
      <c r="N178" s="80">
        <f>IFERROR(__xludf.DUMMYFUNCTION("+K178-SUM(O178:AL178)"),0.0)</f>
        <v>0</v>
      </c>
      <c r="O178" s="81">
        <v>0.0</v>
      </c>
      <c r="P178" s="89">
        <v>0.0</v>
      </c>
      <c r="Q178" s="89">
        <v>0.0</v>
      </c>
      <c r="R178" s="89">
        <v>0.0</v>
      </c>
      <c r="S178" s="89">
        <v>0.0</v>
      </c>
      <c r="T178" s="89">
        <v>0.0</v>
      </c>
      <c r="U178" s="89">
        <v>0.0</v>
      </c>
      <c r="V178" s="89">
        <v>0.0</v>
      </c>
      <c r="W178" s="89">
        <v>0.0</v>
      </c>
      <c r="X178" s="89">
        <v>0.0</v>
      </c>
      <c r="Y178" s="89">
        <v>0.0</v>
      </c>
      <c r="Z178" s="89">
        <v>0.0</v>
      </c>
      <c r="AA178" s="89">
        <v>0.0</v>
      </c>
      <c r="AB178" s="89">
        <v>0.0</v>
      </c>
      <c r="AC178" s="89">
        <v>0.0</v>
      </c>
      <c r="AD178" s="89">
        <v>0.0</v>
      </c>
      <c r="AE178" s="89">
        <v>0.0</v>
      </c>
      <c r="AF178" s="89">
        <v>0.0</v>
      </c>
      <c r="AG178" s="89">
        <v>0.0</v>
      </c>
      <c r="AH178" s="89">
        <v>0.0</v>
      </c>
      <c r="AI178" s="89">
        <v>0.0</v>
      </c>
      <c r="AJ178" s="89">
        <v>0.0</v>
      </c>
      <c r="AK178" s="90">
        <v>0.0</v>
      </c>
      <c r="AL178" s="85"/>
      <c r="AM178" s="85">
        <f t="shared" si="1"/>
        <v>0</v>
      </c>
      <c r="AN178" s="86" t="str">
        <f t="shared" si="2"/>
        <v/>
      </c>
      <c r="AO178" s="13"/>
    </row>
    <row r="179" ht="30.0" hidden="1" customHeight="1">
      <c r="A179" s="4" t="str">
        <f>IFERROR(VLOOKUP(C179,'Product List'!$A$2:$C198,2,FALSE),"")</f>
        <v/>
      </c>
      <c r="B179" s="5" t="str">
        <f>IFERROR(VLOOKUP(C179,'Product List'!$A$2:$C198,3,FALSE),"")</f>
        <v/>
      </c>
      <c r="C179" s="6"/>
      <c r="D179" s="5"/>
      <c r="E179" s="76">
        <f>IFERROR(__xludf.DUMMYFUNCTION("+E178+1"),164.0)</f>
        <v>164</v>
      </c>
      <c r="F179" s="77"/>
      <c r="G179" s="78">
        <v>0.0</v>
      </c>
      <c r="H179" s="78">
        <v>0.0</v>
      </c>
      <c r="I179" s="78">
        <f>IFERROR(__xludf.DUMMYFUNCTION("+G179-H179"),0.0)</f>
        <v>0</v>
      </c>
      <c r="J179" s="78">
        <v>0.0</v>
      </c>
      <c r="K179" s="78">
        <f>IFERROR(__xludf.DUMMYFUNCTION("+I179+J179"),0.0)</f>
        <v>0</v>
      </c>
      <c r="L179" s="79">
        <f>IFERROR(__xludf.DUMMYFUNCTION("+K179/$K$190"),0.0)</f>
        <v>0</v>
      </c>
      <c r="M179" s="78">
        <f>IFERROR(__xludf.DUMMYFUNCTION("+K179/$T$9"),0.0)</f>
        <v>0</v>
      </c>
      <c r="N179" s="80">
        <f>IFERROR(__xludf.DUMMYFUNCTION("+K179-SUM(O179:AL179)"),0.0)</f>
        <v>0</v>
      </c>
      <c r="O179" s="81">
        <v>0.0</v>
      </c>
      <c r="P179" s="89">
        <v>0.0</v>
      </c>
      <c r="Q179" s="89">
        <v>0.0</v>
      </c>
      <c r="R179" s="89">
        <v>0.0</v>
      </c>
      <c r="S179" s="89">
        <v>0.0</v>
      </c>
      <c r="T179" s="89">
        <v>0.0</v>
      </c>
      <c r="U179" s="89">
        <v>0.0</v>
      </c>
      <c r="V179" s="89">
        <v>0.0</v>
      </c>
      <c r="W179" s="89">
        <v>0.0</v>
      </c>
      <c r="X179" s="89">
        <v>0.0</v>
      </c>
      <c r="Y179" s="89">
        <v>0.0</v>
      </c>
      <c r="Z179" s="89">
        <v>0.0</v>
      </c>
      <c r="AA179" s="89">
        <v>0.0</v>
      </c>
      <c r="AB179" s="89">
        <v>0.0</v>
      </c>
      <c r="AC179" s="89">
        <v>0.0</v>
      </c>
      <c r="AD179" s="89">
        <v>0.0</v>
      </c>
      <c r="AE179" s="89">
        <v>0.0</v>
      </c>
      <c r="AF179" s="89">
        <v>0.0</v>
      </c>
      <c r="AG179" s="89">
        <v>0.0</v>
      </c>
      <c r="AH179" s="89">
        <v>0.0</v>
      </c>
      <c r="AI179" s="89">
        <v>0.0</v>
      </c>
      <c r="AJ179" s="89">
        <v>0.0</v>
      </c>
      <c r="AK179" s="90">
        <v>0.0</v>
      </c>
      <c r="AL179" s="85"/>
      <c r="AM179" s="85">
        <f t="shared" si="1"/>
        <v>0</v>
      </c>
      <c r="AN179" s="86" t="str">
        <f t="shared" si="2"/>
        <v/>
      </c>
      <c r="AO179" s="13"/>
    </row>
    <row r="180" ht="30.0" hidden="1" customHeight="1">
      <c r="A180" s="4" t="str">
        <f>IFERROR(VLOOKUP(C180,'Product List'!$A$2:$C198,2,FALSE),"")</f>
        <v/>
      </c>
      <c r="B180" s="5" t="str">
        <f>IFERROR(VLOOKUP(C180,'Product List'!$A$2:$C198,3,FALSE),"")</f>
        <v/>
      </c>
      <c r="C180" s="6"/>
      <c r="D180" s="5"/>
      <c r="E180" s="76">
        <f>IFERROR(__xludf.DUMMYFUNCTION("+E179+1"),165.0)</f>
        <v>165</v>
      </c>
      <c r="F180" s="77"/>
      <c r="G180" s="78">
        <v>0.0</v>
      </c>
      <c r="H180" s="78">
        <v>0.0</v>
      </c>
      <c r="I180" s="78">
        <f>IFERROR(__xludf.DUMMYFUNCTION("+G180-H180"),0.0)</f>
        <v>0</v>
      </c>
      <c r="J180" s="78">
        <v>0.0</v>
      </c>
      <c r="K180" s="78">
        <f>IFERROR(__xludf.DUMMYFUNCTION("+I180+J180"),0.0)</f>
        <v>0</v>
      </c>
      <c r="L180" s="79">
        <f>IFERROR(__xludf.DUMMYFUNCTION("+K180/$K$190"),0.0)</f>
        <v>0</v>
      </c>
      <c r="M180" s="78">
        <f>IFERROR(__xludf.DUMMYFUNCTION("+K180/$T$9"),0.0)</f>
        <v>0</v>
      </c>
      <c r="N180" s="80">
        <f>IFERROR(__xludf.DUMMYFUNCTION("+K180-SUM(O180:AL180)"),0.0)</f>
        <v>0</v>
      </c>
      <c r="O180" s="81">
        <v>0.0</v>
      </c>
      <c r="P180" s="89">
        <v>0.0</v>
      </c>
      <c r="Q180" s="89">
        <v>0.0</v>
      </c>
      <c r="R180" s="89">
        <v>0.0</v>
      </c>
      <c r="S180" s="89">
        <v>0.0</v>
      </c>
      <c r="T180" s="89">
        <v>0.0</v>
      </c>
      <c r="U180" s="89">
        <v>0.0</v>
      </c>
      <c r="V180" s="89">
        <v>0.0</v>
      </c>
      <c r="W180" s="89">
        <v>0.0</v>
      </c>
      <c r="X180" s="89">
        <v>0.0</v>
      </c>
      <c r="Y180" s="89">
        <v>0.0</v>
      </c>
      <c r="Z180" s="89">
        <v>0.0</v>
      </c>
      <c r="AA180" s="89">
        <v>0.0</v>
      </c>
      <c r="AB180" s="89">
        <v>0.0</v>
      </c>
      <c r="AC180" s="89">
        <v>0.0</v>
      </c>
      <c r="AD180" s="89">
        <v>0.0</v>
      </c>
      <c r="AE180" s="89">
        <v>0.0</v>
      </c>
      <c r="AF180" s="89">
        <v>0.0</v>
      </c>
      <c r="AG180" s="89">
        <v>0.0</v>
      </c>
      <c r="AH180" s="89">
        <v>0.0</v>
      </c>
      <c r="AI180" s="89">
        <v>0.0</v>
      </c>
      <c r="AJ180" s="89">
        <v>0.0</v>
      </c>
      <c r="AK180" s="90">
        <v>0.0</v>
      </c>
      <c r="AL180" s="85"/>
      <c r="AM180" s="85">
        <f t="shared" si="1"/>
        <v>0</v>
      </c>
      <c r="AN180" s="86" t="str">
        <f t="shared" si="2"/>
        <v/>
      </c>
      <c r="AO180" s="13"/>
    </row>
    <row r="181" ht="30.0" hidden="1" customHeight="1">
      <c r="A181" s="4" t="str">
        <f>IFERROR(VLOOKUP(C181,'Product List'!$A$2:$C198,2,FALSE),"")</f>
        <v/>
      </c>
      <c r="B181" s="5" t="str">
        <f>IFERROR(VLOOKUP(C181,'Product List'!$A$2:$C198,3,FALSE),"")</f>
        <v/>
      </c>
      <c r="C181" s="6"/>
      <c r="D181" s="5"/>
      <c r="E181" s="76">
        <f>IFERROR(__xludf.DUMMYFUNCTION("+E180+1"),166.0)</f>
        <v>166</v>
      </c>
      <c r="F181" s="77"/>
      <c r="G181" s="78">
        <v>0.0</v>
      </c>
      <c r="H181" s="78">
        <v>0.0</v>
      </c>
      <c r="I181" s="78">
        <f>IFERROR(__xludf.DUMMYFUNCTION("+G181-H181"),0.0)</f>
        <v>0</v>
      </c>
      <c r="J181" s="78">
        <v>0.0</v>
      </c>
      <c r="K181" s="78">
        <f>IFERROR(__xludf.DUMMYFUNCTION("+I181+J181"),0.0)</f>
        <v>0</v>
      </c>
      <c r="L181" s="79">
        <f>IFERROR(__xludf.DUMMYFUNCTION("+K181/$K$190"),0.0)</f>
        <v>0</v>
      </c>
      <c r="M181" s="78">
        <f>IFERROR(__xludf.DUMMYFUNCTION("+K181/$T$9"),0.0)</f>
        <v>0</v>
      </c>
      <c r="N181" s="80">
        <f>IFERROR(__xludf.DUMMYFUNCTION("+K181-SUM(O181:AL181)"),0.0)</f>
        <v>0</v>
      </c>
      <c r="O181" s="81">
        <v>0.0</v>
      </c>
      <c r="P181" s="89">
        <v>0.0</v>
      </c>
      <c r="Q181" s="89">
        <v>0.0</v>
      </c>
      <c r="R181" s="89">
        <v>0.0</v>
      </c>
      <c r="S181" s="89">
        <v>0.0</v>
      </c>
      <c r="T181" s="89">
        <v>0.0</v>
      </c>
      <c r="U181" s="89">
        <v>0.0</v>
      </c>
      <c r="V181" s="89">
        <v>0.0</v>
      </c>
      <c r="W181" s="89">
        <v>0.0</v>
      </c>
      <c r="X181" s="89">
        <v>0.0</v>
      </c>
      <c r="Y181" s="89">
        <v>0.0</v>
      </c>
      <c r="Z181" s="89">
        <v>0.0</v>
      </c>
      <c r="AA181" s="89">
        <v>0.0</v>
      </c>
      <c r="AB181" s="89">
        <v>0.0</v>
      </c>
      <c r="AC181" s="89">
        <v>0.0</v>
      </c>
      <c r="AD181" s="89">
        <v>0.0</v>
      </c>
      <c r="AE181" s="89">
        <v>0.0</v>
      </c>
      <c r="AF181" s="89">
        <v>0.0</v>
      </c>
      <c r="AG181" s="89">
        <v>0.0</v>
      </c>
      <c r="AH181" s="89">
        <v>0.0</v>
      </c>
      <c r="AI181" s="89">
        <v>0.0</v>
      </c>
      <c r="AJ181" s="89">
        <v>0.0</v>
      </c>
      <c r="AK181" s="90">
        <v>0.0</v>
      </c>
      <c r="AL181" s="85"/>
      <c r="AM181" s="85">
        <f t="shared" si="1"/>
        <v>0</v>
      </c>
      <c r="AN181" s="86" t="str">
        <f t="shared" si="2"/>
        <v/>
      </c>
      <c r="AO181" s="13"/>
    </row>
    <row r="182" ht="30.0" hidden="1" customHeight="1">
      <c r="A182" s="4" t="str">
        <f>IFERROR(VLOOKUP(C182,'Product List'!$A$2:$C198,2,FALSE),"")</f>
        <v/>
      </c>
      <c r="B182" s="5" t="str">
        <f>IFERROR(VLOOKUP(C182,'Product List'!$A$2:$C198,3,FALSE),"")</f>
        <v/>
      </c>
      <c r="C182" s="6"/>
      <c r="D182" s="5"/>
      <c r="E182" s="76">
        <f>IFERROR(__xludf.DUMMYFUNCTION("+E181+1"),167.0)</f>
        <v>167</v>
      </c>
      <c r="F182" s="77"/>
      <c r="G182" s="78">
        <v>0.0</v>
      </c>
      <c r="H182" s="78">
        <v>0.0</v>
      </c>
      <c r="I182" s="78">
        <f>IFERROR(__xludf.DUMMYFUNCTION("+G182-H182"),0.0)</f>
        <v>0</v>
      </c>
      <c r="J182" s="78">
        <v>0.0</v>
      </c>
      <c r="K182" s="78">
        <f>IFERROR(__xludf.DUMMYFUNCTION("+I182+J182"),0.0)</f>
        <v>0</v>
      </c>
      <c r="L182" s="79">
        <f>IFERROR(__xludf.DUMMYFUNCTION("+K182/$K$190"),0.0)</f>
        <v>0</v>
      </c>
      <c r="M182" s="78">
        <f>IFERROR(__xludf.DUMMYFUNCTION("+K182/$T$9"),0.0)</f>
        <v>0</v>
      </c>
      <c r="N182" s="80">
        <f>IFERROR(__xludf.DUMMYFUNCTION("+K182-SUM(O182:AL182)"),0.0)</f>
        <v>0</v>
      </c>
      <c r="O182" s="81">
        <v>0.0</v>
      </c>
      <c r="P182" s="89">
        <v>0.0</v>
      </c>
      <c r="Q182" s="89">
        <v>0.0</v>
      </c>
      <c r="R182" s="89">
        <v>0.0</v>
      </c>
      <c r="S182" s="89">
        <v>0.0</v>
      </c>
      <c r="T182" s="89">
        <v>0.0</v>
      </c>
      <c r="U182" s="89">
        <v>0.0</v>
      </c>
      <c r="V182" s="89">
        <v>0.0</v>
      </c>
      <c r="W182" s="89">
        <v>0.0</v>
      </c>
      <c r="X182" s="89">
        <v>0.0</v>
      </c>
      <c r="Y182" s="89">
        <v>0.0</v>
      </c>
      <c r="Z182" s="89">
        <v>0.0</v>
      </c>
      <c r="AA182" s="89">
        <v>0.0</v>
      </c>
      <c r="AB182" s="89">
        <v>0.0</v>
      </c>
      <c r="AC182" s="89">
        <v>0.0</v>
      </c>
      <c r="AD182" s="89">
        <v>0.0</v>
      </c>
      <c r="AE182" s="89">
        <v>0.0</v>
      </c>
      <c r="AF182" s="89">
        <v>0.0</v>
      </c>
      <c r="AG182" s="89">
        <v>0.0</v>
      </c>
      <c r="AH182" s="89">
        <v>0.0</v>
      </c>
      <c r="AI182" s="89">
        <v>0.0</v>
      </c>
      <c r="AJ182" s="89">
        <v>0.0</v>
      </c>
      <c r="AK182" s="90">
        <v>0.0</v>
      </c>
      <c r="AL182" s="85"/>
      <c r="AM182" s="85">
        <f t="shared" si="1"/>
        <v>0</v>
      </c>
      <c r="AN182" s="86" t="str">
        <f t="shared" si="2"/>
        <v/>
      </c>
      <c r="AO182" s="13"/>
    </row>
    <row r="183" ht="30.0" hidden="1" customHeight="1">
      <c r="A183" s="4" t="str">
        <f>IFERROR(VLOOKUP(C183,'Product List'!$A$2:$C198,2,FALSE),"")</f>
        <v/>
      </c>
      <c r="B183" s="5" t="str">
        <f>IFERROR(VLOOKUP(C183,'Product List'!$A$2:$C198,3,FALSE),"")</f>
        <v/>
      </c>
      <c r="C183" s="6"/>
      <c r="D183" s="5"/>
      <c r="E183" s="76">
        <f>IFERROR(__xludf.DUMMYFUNCTION("+E182+1"),168.0)</f>
        <v>168</v>
      </c>
      <c r="F183" s="77"/>
      <c r="G183" s="78">
        <v>0.0</v>
      </c>
      <c r="H183" s="78">
        <v>0.0</v>
      </c>
      <c r="I183" s="78">
        <f>IFERROR(__xludf.DUMMYFUNCTION("+G183-H183"),0.0)</f>
        <v>0</v>
      </c>
      <c r="J183" s="78">
        <v>0.0</v>
      </c>
      <c r="K183" s="78">
        <f>IFERROR(__xludf.DUMMYFUNCTION("+I183+J183"),0.0)</f>
        <v>0</v>
      </c>
      <c r="L183" s="79">
        <f>IFERROR(__xludf.DUMMYFUNCTION("+K183/$K$190"),0.0)</f>
        <v>0</v>
      </c>
      <c r="M183" s="78">
        <f>IFERROR(__xludf.DUMMYFUNCTION("+K183/$T$9"),0.0)</f>
        <v>0</v>
      </c>
      <c r="N183" s="80">
        <f>IFERROR(__xludf.DUMMYFUNCTION("+K183-SUM(O183:AL183)"),0.0)</f>
        <v>0</v>
      </c>
      <c r="O183" s="81">
        <v>0.0</v>
      </c>
      <c r="P183" s="89">
        <v>0.0</v>
      </c>
      <c r="Q183" s="89">
        <v>0.0</v>
      </c>
      <c r="R183" s="89">
        <v>0.0</v>
      </c>
      <c r="S183" s="89">
        <v>0.0</v>
      </c>
      <c r="T183" s="89">
        <v>0.0</v>
      </c>
      <c r="U183" s="89">
        <v>0.0</v>
      </c>
      <c r="V183" s="89">
        <v>0.0</v>
      </c>
      <c r="W183" s="89">
        <v>0.0</v>
      </c>
      <c r="X183" s="89">
        <v>0.0</v>
      </c>
      <c r="Y183" s="89">
        <v>0.0</v>
      </c>
      <c r="Z183" s="89">
        <v>0.0</v>
      </c>
      <c r="AA183" s="89">
        <v>0.0</v>
      </c>
      <c r="AB183" s="89">
        <v>0.0</v>
      </c>
      <c r="AC183" s="89">
        <v>0.0</v>
      </c>
      <c r="AD183" s="89">
        <v>0.0</v>
      </c>
      <c r="AE183" s="89">
        <v>0.0</v>
      </c>
      <c r="AF183" s="89">
        <v>0.0</v>
      </c>
      <c r="AG183" s="89">
        <v>0.0</v>
      </c>
      <c r="AH183" s="89">
        <v>0.0</v>
      </c>
      <c r="AI183" s="89">
        <v>0.0</v>
      </c>
      <c r="AJ183" s="89">
        <v>0.0</v>
      </c>
      <c r="AK183" s="90">
        <v>0.0</v>
      </c>
      <c r="AL183" s="85"/>
      <c r="AM183" s="85">
        <f t="shared" si="1"/>
        <v>0</v>
      </c>
      <c r="AN183" s="86" t="str">
        <f t="shared" si="2"/>
        <v/>
      </c>
      <c r="AO183" s="13"/>
    </row>
    <row r="184" ht="30.0" hidden="1" customHeight="1">
      <c r="A184" s="4" t="str">
        <f>IFERROR(VLOOKUP(C184,'Product List'!$A$2:$C198,2,FALSE),"")</f>
        <v/>
      </c>
      <c r="B184" s="5" t="str">
        <f>IFERROR(VLOOKUP(C184,'Product List'!$A$2:$C198,3,FALSE),"")</f>
        <v/>
      </c>
      <c r="C184" s="6"/>
      <c r="D184" s="5"/>
      <c r="E184" s="76">
        <f>IFERROR(__xludf.DUMMYFUNCTION("+E183+1"),169.0)</f>
        <v>169</v>
      </c>
      <c r="F184" s="77"/>
      <c r="G184" s="78">
        <v>0.0</v>
      </c>
      <c r="H184" s="78">
        <v>0.0</v>
      </c>
      <c r="I184" s="78">
        <f>IFERROR(__xludf.DUMMYFUNCTION("+G184-H184"),0.0)</f>
        <v>0</v>
      </c>
      <c r="J184" s="78">
        <v>0.0</v>
      </c>
      <c r="K184" s="78">
        <f>IFERROR(__xludf.DUMMYFUNCTION("+I184+J184"),0.0)</f>
        <v>0</v>
      </c>
      <c r="L184" s="79">
        <f>IFERROR(__xludf.DUMMYFUNCTION("+K184/$K$190"),0.0)</f>
        <v>0</v>
      </c>
      <c r="M184" s="78">
        <f>IFERROR(__xludf.DUMMYFUNCTION("+K184/$T$9"),0.0)</f>
        <v>0</v>
      </c>
      <c r="N184" s="80">
        <f>IFERROR(__xludf.DUMMYFUNCTION("+K184-SUM(O184:AL184)"),0.0)</f>
        <v>0</v>
      </c>
      <c r="O184" s="81">
        <v>0.0</v>
      </c>
      <c r="P184" s="89">
        <v>0.0</v>
      </c>
      <c r="Q184" s="89">
        <v>0.0</v>
      </c>
      <c r="R184" s="89">
        <v>0.0</v>
      </c>
      <c r="S184" s="89">
        <v>0.0</v>
      </c>
      <c r="T184" s="89">
        <v>0.0</v>
      </c>
      <c r="U184" s="89">
        <v>0.0</v>
      </c>
      <c r="V184" s="89">
        <v>0.0</v>
      </c>
      <c r="W184" s="89">
        <v>0.0</v>
      </c>
      <c r="X184" s="89">
        <v>0.0</v>
      </c>
      <c r="Y184" s="89">
        <v>0.0</v>
      </c>
      <c r="Z184" s="89">
        <v>0.0</v>
      </c>
      <c r="AA184" s="89">
        <v>0.0</v>
      </c>
      <c r="AB184" s="89">
        <v>0.0</v>
      </c>
      <c r="AC184" s="89">
        <v>0.0</v>
      </c>
      <c r="AD184" s="89">
        <v>0.0</v>
      </c>
      <c r="AE184" s="89">
        <v>0.0</v>
      </c>
      <c r="AF184" s="89">
        <v>0.0</v>
      </c>
      <c r="AG184" s="89">
        <v>0.0</v>
      </c>
      <c r="AH184" s="89">
        <v>0.0</v>
      </c>
      <c r="AI184" s="89">
        <v>0.0</v>
      </c>
      <c r="AJ184" s="89">
        <v>0.0</v>
      </c>
      <c r="AK184" s="90">
        <v>0.0</v>
      </c>
      <c r="AL184" s="85"/>
      <c r="AM184" s="85">
        <f t="shared" si="1"/>
        <v>0</v>
      </c>
      <c r="AN184" s="86" t="str">
        <f t="shared" si="2"/>
        <v/>
      </c>
      <c r="AO184" s="13"/>
    </row>
    <row r="185" ht="30.0" hidden="1" customHeight="1">
      <c r="A185" s="4" t="str">
        <f>IFERROR(VLOOKUP(C185,'Product List'!$A$2:$C198,2,FALSE),"")</f>
        <v/>
      </c>
      <c r="B185" s="5" t="str">
        <f>IFERROR(VLOOKUP(C185,'Product List'!$A$2:$C198,3,FALSE),"")</f>
        <v/>
      </c>
      <c r="C185" s="6"/>
      <c r="D185" s="5"/>
      <c r="E185" s="76">
        <f>IFERROR(__xludf.DUMMYFUNCTION("+E184+1"),170.0)</f>
        <v>170</v>
      </c>
      <c r="F185" s="77"/>
      <c r="G185" s="78">
        <v>0.0</v>
      </c>
      <c r="H185" s="78">
        <v>0.0</v>
      </c>
      <c r="I185" s="78">
        <f>IFERROR(__xludf.DUMMYFUNCTION("+G185-H185"),0.0)</f>
        <v>0</v>
      </c>
      <c r="J185" s="78">
        <v>0.0</v>
      </c>
      <c r="K185" s="78">
        <f>IFERROR(__xludf.DUMMYFUNCTION("+I185+J185"),0.0)</f>
        <v>0</v>
      </c>
      <c r="L185" s="79">
        <f>IFERROR(__xludf.DUMMYFUNCTION("+K185/$K$190"),0.0)</f>
        <v>0</v>
      </c>
      <c r="M185" s="78">
        <f>IFERROR(__xludf.DUMMYFUNCTION("+K185/$T$9"),0.0)</f>
        <v>0</v>
      </c>
      <c r="N185" s="80">
        <f>IFERROR(__xludf.DUMMYFUNCTION("+K185-SUM(O185:AL185)"),0.0)</f>
        <v>0</v>
      </c>
      <c r="O185" s="81">
        <v>0.0</v>
      </c>
      <c r="P185" s="89">
        <v>0.0</v>
      </c>
      <c r="Q185" s="89">
        <v>0.0</v>
      </c>
      <c r="R185" s="89">
        <v>0.0</v>
      </c>
      <c r="S185" s="89">
        <v>0.0</v>
      </c>
      <c r="T185" s="89">
        <v>0.0</v>
      </c>
      <c r="U185" s="89">
        <v>0.0</v>
      </c>
      <c r="V185" s="89">
        <v>0.0</v>
      </c>
      <c r="W185" s="89">
        <v>0.0</v>
      </c>
      <c r="X185" s="89">
        <v>0.0</v>
      </c>
      <c r="Y185" s="89">
        <v>0.0</v>
      </c>
      <c r="Z185" s="89">
        <v>0.0</v>
      </c>
      <c r="AA185" s="89">
        <v>0.0</v>
      </c>
      <c r="AB185" s="89">
        <v>0.0</v>
      </c>
      <c r="AC185" s="89">
        <v>0.0</v>
      </c>
      <c r="AD185" s="89">
        <v>0.0</v>
      </c>
      <c r="AE185" s="89">
        <v>0.0</v>
      </c>
      <c r="AF185" s="89">
        <v>0.0</v>
      </c>
      <c r="AG185" s="89">
        <v>0.0</v>
      </c>
      <c r="AH185" s="89">
        <v>0.0</v>
      </c>
      <c r="AI185" s="89">
        <v>0.0</v>
      </c>
      <c r="AJ185" s="89">
        <v>0.0</v>
      </c>
      <c r="AK185" s="90">
        <v>0.0</v>
      </c>
      <c r="AL185" s="85"/>
      <c r="AM185" s="85">
        <f t="shared" si="1"/>
        <v>0</v>
      </c>
      <c r="AN185" s="86" t="str">
        <f t="shared" si="2"/>
        <v/>
      </c>
      <c r="AO185" s="13"/>
    </row>
    <row r="186" ht="30.0" hidden="1" customHeight="1">
      <c r="A186" s="4" t="str">
        <f>IFERROR(VLOOKUP(C186,'Product List'!$A$2:$C198,2,FALSE),"")</f>
        <v/>
      </c>
      <c r="B186" s="5" t="str">
        <f>IFERROR(VLOOKUP(C186,'Product List'!$A$2:$C198,3,FALSE),"")</f>
        <v/>
      </c>
      <c r="C186" s="6"/>
      <c r="D186" s="5"/>
      <c r="E186" s="76">
        <f>IFERROR(__xludf.DUMMYFUNCTION("+E185+1"),171.0)</f>
        <v>171</v>
      </c>
      <c r="F186" s="77"/>
      <c r="G186" s="78">
        <v>0.0</v>
      </c>
      <c r="H186" s="78">
        <v>0.0</v>
      </c>
      <c r="I186" s="78">
        <f>IFERROR(__xludf.DUMMYFUNCTION("+G186-H186"),0.0)</f>
        <v>0</v>
      </c>
      <c r="J186" s="78">
        <v>0.0</v>
      </c>
      <c r="K186" s="78">
        <f>IFERROR(__xludf.DUMMYFUNCTION("+I186+J186"),0.0)</f>
        <v>0</v>
      </c>
      <c r="L186" s="79">
        <f>IFERROR(__xludf.DUMMYFUNCTION("+K186/$K$190"),0.0)</f>
        <v>0</v>
      </c>
      <c r="M186" s="78">
        <f>IFERROR(__xludf.DUMMYFUNCTION("+K186/$T$9"),0.0)</f>
        <v>0</v>
      </c>
      <c r="N186" s="80">
        <f>IFERROR(__xludf.DUMMYFUNCTION("+K186-SUM(O186:AL186)"),0.0)</f>
        <v>0</v>
      </c>
      <c r="O186" s="81">
        <v>0.0</v>
      </c>
      <c r="P186" s="89">
        <v>0.0</v>
      </c>
      <c r="Q186" s="89">
        <v>0.0</v>
      </c>
      <c r="R186" s="89">
        <v>0.0</v>
      </c>
      <c r="S186" s="89">
        <v>0.0</v>
      </c>
      <c r="T186" s="89">
        <v>0.0</v>
      </c>
      <c r="U186" s="89">
        <v>0.0</v>
      </c>
      <c r="V186" s="89">
        <v>0.0</v>
      </c>
      <c r="W186" s="89">
        <v>0.0</v>
      </c>
      <c r="X186" s="89">
        <v>0.0</v>
      </c>
      <c r="Y186" s="89">
        <v>0.0</v>
      </c>
      <c r="Z186" s="89">
        <v>0.0</v>
      </c>
      <c r="AA186" s="89">
        <v>0.0</v>
      </c>
      <c r="AB186" s="89">
        <v>0.0</v>
      </c>
      <c r="AC186" s="89">
        <v>0.0</v>
      </c>
      <c r="AD186" s="89">
        <v>0.0</v>
      </c>
      <c r="AE186" s="89">
        <v>0.0</v>
      </c>
      <c r="AF186" s="89">
        <v>0.0</v>
      </c>
      <c r="AG186" s="89">
        <v>0.0</v>
      </c>
      <c r="AH186" s="89">
        <v>0.0</v>
      </c>
      <c r="AI186" s="89">
        <v>0.0</v>
      </c>
      <c r="AJ186" s="89">
        <v>0.0</v>
      </c>
      <c r="AK186" s="90">
        <v>0.0</v>
      </c>
      <c r="AL186" s="85"/>
      <c r="AM186" s="85">
        <f t="shared" si="1"/>
        <v>0</v>
      </c>
      <c r="AN186" s="86" t="str">
        <f t="shared" si="2"/>
        <v/>
      </c>
      <c r="AO186" s="13"/>
    </row>
    <row r="187" ht="30.0" hidden="1" customHeight="1">
      <c r="A187" s="4" t="str">
        <f>IFERROR(VLOOKUP(C187,'Product List'!$A$2:$C198,2,FALSE),"")</f>
        <v/>
      </c>
      <c r="B187" s="5" t="str">
        <f>IFERROR(VLOOKUP(C187,'Product List'!$A$2:$C198,3,FALSE),"")</f>
        <v/>
      </c>
      <c r="C187" s="6"/>
      <c r="D187" s="5"/>
      <c r="E187" s="76">
        <f>IFERROR(__xludf.DUMMYFUNCTION("+E186+1"),172.0)</f>
        <v>172</v>
      </c>
      <c r="F187" s="77"/>
      <c r="G187" s="78">
        <v>0.0</v>
      </c>
      <c r="H187" s="78">
        <v>0.0</v>
      </c>
      <c r="I187" s="78">
        <f>IFERROR(__xludf.DUMMYFUNCTION("+G187-H187"),0.0)</f>
        <v>0</v>
      </c>
      <c r="J187" s="78">
        <v>0.0</v>
      </c>
      <c r="K187" s="78">
        <f>IFERROR(__xludf.DUMMYFUNCTION("+I187+J187"),0.0)</f>
        <v>0</v>
      </c>
      <c r="L187" s="79">
        <f>IFERROR(__xludf.DUMMYFUNCTION("+K187/$K$190"),0.0)</f>
        <v>0</v>
      </c>
      <c r="M187" s="78">
        <f>IFERROR(__xludf.DUMMYFUNCTION("+K187/$T$9"),0.0)</f>
        <v>0</v>
      </c>
      <c r="N187" s="80">
        <f>IFERROR(__xludf.DUMMYFUNCTION("+K187-SUM(O187:AL187)"),0.0)</f>
        <v>0</v>
      </c>
      <c r="O187" s="81">
        <v>0.0</v>
      </c>
      <c r="P187" s="89">
        <v>0.0</v>
      </c>
      <c r="Q187" s="89">
        <v>0.0</v>
      </c>
      <c r="R187" s="89">
        <v>0.0</v>
      </c>
      <c r="S187" s="89">
        <v>0.0</v>
      </c>
      <c r="T187" s="89">
        <v>0.0</v>
      </c>
      <c r="U187" s="89">
        <v>0.0</v>
      </c>
      <c r="V187" s="89">
        <v>0.0</v>
      </c>
      <c r="W187" s="89">
        <v>0.0</v>
      </c>
      <c r="X187" s="89">
        <v>0.0</v>
      </c>
      <c r="Y187" s="89">
        <v>0.0</v>
      </c>
      <c r="Z187" s="89">
        <v>0.0</v>
      </c>
      <c r="AA187" s="89">
        <v>0.0</v>
      </c>
      <c r="AB187" s="89">
        <v>0.0</v>
      </c>
      <c r="AC187" s="89">
        <v>0.0</v>
      </c>
      <c r="AD187" s="89">
        <v>0.0</v>
      </c>
      <c r="AE187" s="89">
        <v>0.0</v>
      </c>
      <c r="AF187" s="89">
        <v>0.0</v>
      </c>
      <c r="AG187" s="89">
        <v>0.0</v>
      </c>
      <c r="AH187" s="89">
        <v>0.0</v>
      </c>
      <c r="AI187" s="89">
        <v>0.0</v>
      </c>
      <c r="AJ187" s="89">
        <v>0.0</v>
      </c>
      <c r="AK187" s="90">
        <v>0.0</v>
      </c>
      <c r="AL187" s="85"/>
      <c r="AM187" s="85">
        <f t="shared" si="1"/>
        <v>0</v>
      </c>
      <c r="AN187" s="86" t="str">
        <f t="shared" si="2"/>
        <v/>
      </c>
      <c r="AO187" s="13"/>
    </row>
    <row r="188" ht="30.0" hidden="1" customHeight="1">
      <c r="A188" s="4" t="str">
        <f>IFERROR(VLOOKUP(C188,'Product List'!$A$2:$C198,2,FALSE),"")</f>
        <v/>
      </c>
      <c r="B188" s="5" t="str">
        <f>IFERROR(VLOOKUP(C188,'Product List'!$A$2:$C198,3,FALSE),"")</f>
        <v/>
      </c>
      <c r="C188" s="6"/>
      <c r="D188" s="5"/>
      <c r="E188" s="76">
        <f>IFERROR(__xludf.DUMMYFUNCTION("+E187+1"),173.0)</f>
        <v>173</v>
      </c>
      <c r="F188" s="77"/>
      <c r="G188" s="78">
        <v>0.0</v>
      </c>
      <c r="H188" s="78">
        <v>0.0</v>
      </c>
      <c r="I188" s="78">
        <f>IFERROR(__xludf.DUMMYFUNCTION("+G188-H188"),0.0)</f>
        <v>0</v>
      </c>
      <c r="J188" s="78">
        <v>0.0</v>
      </c>
      <c r="K188" s="78">
        <f>IFERROR(__xludf.DUMMYFUNCTION("+I188+J188"),0.0)</f>
        <v>0</v>
      </c>
      <c r="L188" s="79">
        <f>IFERROR(__xludf.DUMMYFUNCTION("+K188/$K$190"),0.0)</f>
        <v>0</v>
      </c>
      <c r="M188" s="78">
        <f>IFERROR(__xludf.DUMMYFUNCTION("+K188/$T$9"),0.0)</f>
        <v>0</v>
      </c>
      <c r="N188" s="80">
        <f>IFERROR(__xludf.DUMMYFUNCTION("+K188-SUM(O188:AL188)"),0.0)</f>
        <v>0</v>
      </c>
      <c r="O188" s="81">
        <v>0.0</v>
      </c>
      <c r="P188" s="89">
        <v>0.0</v>
      </c>
      <c r="Q188" s="89">
        <v>0.0</v>
      </c>
      <c r="R188" s="89">
        <v>0.0</v>
      </c>
      <c r="S188" s="89">
        <v>0.0</v>
      </c>
      <c r="T188" s="89">
        <v>0.0</v>
      </c>
      <c r="U188" s="89">
        <v>0.0</v>
      </c>
      <c r="V188" s="89">
        <v>0.0</v>
      </c>
      <c r="W188" s="89">
        <v>0.0</v>
      </c>
      <c r="X188" s="89">
        <v>0.0</v>
      </c>
      <c r="Y188" s="89">
        <v>0.0</v>
      </c>
      <c r="Z188" s="89">
        <v>0.0</v>
      </c>
      <c r="AA188" s="89">
        <v>0.0</v>
      </c>
      <c r="AB188" s="89">
        <v>0.0</v>
      </c>
      <c r="AC188" s="89">
        <v>0.0</v>
      </c>
      <c r="AD188" s="89">
        <v>0.0</v>
      </c>
      <c r="AE188" s="89">
        <v>0.0</v>
      </c>
      <c r="AF188" s="89">
        <v>0.0</v>
      </c>
      <c r="AG188" s="89">
        <v>0.0</v>
      </c>
      <c r="AH188" s="89">
        <v>0.0</v>
      </c>
      <c r="AI188" s="89">
        <v>0.0</v>
      </c>
      <c r="AJ188" s="89">
        <v>0.0</v>
      </c>
      <c r="AK188" s="90">
        <v>0.0</v>
      </c>
      <c r="AL188" s="85"/>
      <c r="AM188" s="85">
        <f t="shared" si="1"/>
        <v>0</v>
      </c>
      <c r="AN188" s="86" t="str">
        <f t="shared" si="2"/>
        <v/>
      </c>
      <c r="AO188" s="13"/>
    </row>
    <row r="189" ht="33.0" customHeight="1">
      <c r="A189" s="95" t="str">
        <f>IFERROR(VLOOKUP(C189,'Product List'!$A$2:$C198,2,FALSE),"")</f>
        <v/>
      </c>
      <c r="B189" s="96" t="str">
        <f>IFERROR(VLOOKUP(C189,'Product List'!$A$2:$C198,3,FALSE),"")</f>
        <v/>
      </c>
      <c r="C189" s="96"/>
      <c r="D189" s="96"/>
      <c r="E189" s="76">
        <f>IFERROR(__xludf.DUMMYFUNCTION("+E188+1"),174.0)</f>
        <v>174</v>
      </c>
      <c r="F189" s="77" t="s">
        <v>426</v>
      </c>
      <c r="G189" s="78">
        <v>12000.0</v>
      </c>
      <c r="H189" s="78">
        <v>0.0</v>
      </c>
      <c r="I189" s="78">
        <f>IFERROR(__xludf.DUMMYFUNCTION("+G189-H189"),12000.0)</f>
        <v>12000</v>
      </c>
      <c r="J189" s="78">
        <v>0.0</v>
      </c>
      <c r="K189" s="78">
        <f>IFERROR(__xludf.DUMMYFUNCTION("+I189+J189"),12000.0)</f>
        <v>12000</v>
      </c>
      <c r="L189" s="79">
        <f>IFERROR(__xludf.DUMMYFUNCTION("+K189/$K$190"),8.633093525179857E-4)</f>
        <v>0.0008633093525</v>
      </c>
      <c r="M189" s="78">
        <f>IFERROR(__xludf.DUMMYFUNCTION("+K189/$T$9"),0.14593746579590644)</f>
        <v>0.1459374658</v>
      </c>
      <c r="N189" s="80">
        <f>IFERROR(__xludf.DUMMYFUNCTION("+K189-SUM(O189:AL189)"),8000.0)</f>
        <v>8000</v>
      </c>
      <c r="O189" s="97">
        <f t="shared" ref="O189:AK189" si="3">IF(SUM(O16:O188)&gt;0,$Y$8,0)</f>
        <v>500</v>
      </c>
      <c r="P189" s="97">
        <f t="shared" si="3"/>
        <v>500</v>
      </c>
      <c r="Q189" s="97">
        <f t="shared" si="3"/>
        <v>500</v>
      </c>
      <c r="R189" s="97">
        <f t="shared" si="3"/>
        <v>500</v>
      </c>
      <c r="S189" s="97">
        <f t="shared" si="3"/>
        <v>500</v>
      </c>
      <c r="T189" s="97">
        <f t="shared" si="3"/>
        <v>500</v>
      </c>
      <c r="U189" s="97">
        <f t="shared" si="3"/>
        <v>500</v>
      </c>
      <c r="V189" s="97">
        <f t="shared" si="3"/>
        <v>500</v>
      </c>
      <c r="W189" s="97">
        <f t="shared" si="3"/>
        <v>0</v>
      </c>
      <c r="X189" s="97">
        <f t="shared" si="3"/>
        <v>0</v>
      </c>
      <c r="Y189" s="97">
        <f t="shared" si="3"/>
        <v>0</v>
      </c>
      <c r="Z189" s="97">
        <f t="shared" si="3"/>
        <v>0</v>
      </c>
      <c r="AA189" s="97">
        <f t="shared" si="3"/>
        <v>0</v>
      </c>
      <c r="AB189" s="97">
        <f t="shared" si="3"/>
        <v>0</v>
      </c>
      <c r="AC189" s="97">
        <f t="shared" si="3"/>
        <v>0</v>
      </c>
      <c r="AD189" s="97">
        <f t="shared" si="3"/>
        <v>0</v>
      </c>
      <c r="AE189" s="97">
        <f t="shared" si="3"/>
        <v>0</v>
      </c>
      <c r="AF189" s="97">
        <f t="shared" si="3"/>
        <v>0</v>
      </c>
      <c r="AG189" s="97">
        <f t="shared" si="3"/>
        <v>0</v>
      </c>
      <c r="AH189" s="97">
        <f t="shared" si="3"/>
        <v>0</v>
      </c>
      <c r="AI189" s="97">
        <f t="shared" si="3"/>
        <v>0</v>
      </c>
      <c r="AJ189" s="97">
        <f t="shared" si="3"/>
        <v>0</v>
      </c>
      <c r="AK189" s="97">
        <f t="shared" si="3"/>
        <v>0</v>
      </c>
      <c r="AL189" s="85"/>
      <c r="AM189" s="85">
        <f t="shared" si="1"/>
        <v>4000</v>
      </c>
      <c r="AN189" s="86">
        <f t="shared" si="2"/>
        <v>0.3333333333</v>
      </c>
      <c r="AO189" s="13"/>
    </row>
    <row r="190" ht="45.75" customHeight="1">
      <c r="A190" s="95" t="str">
        <f>IFERROR(VLOOKUP(C190,'Product List'!$A$2:$C198,2,FALSE),"")</f>
        <v/>
      </c>
      <c r="B190" s="96" t="str">
        <f>IFERROR(VLOOKUP(C190,'Product List'!$A$2:$C198,3,FALSE),"")</f>
        <v/>
      </c>
      <c r="C190" s="96"/>
      <c r="D190" s="96"/>
      <c r="E190" s="76">
        <f>IFERROR(__xludf.DUMMYFUNCTION("+E189+1"),175.0)</f>
        <v>175</v>
      </c>
      <c r="F190" s="98" t="s">
        <v>427</v>
      </c>
      <c r="G190" s="99">
        <f t="shared" ref="G190:L190" si="4">SUM(G16:G189)</f>
        <v>16921419.26</v>
      </c>
      <c r="H190" s="99">
        <f t="shared" si="4"/>
        <v>3021419.26</v>
      </c>
      <c r="I190" s="99">
        <f t="shared" si="4"/>
        <v>13900000</v>
      </c>
      <c r="J190" s="100">
        <f t="shared" si="4"/>
        <v>0</v>
      </c>
      <c r="K190" s="100">
        <f t="shared" si="4"/>
        <v>13900000</v>
      </c>
      <c r="L190" s="101">
        <f t="shared" si="4"/>
        <v>1</v>
      </c>
      <c r="M190" s="100">
        <f>IFERROR(__xludf.DUMMYFUNCTION("+K190/$T$9"),169.04423121359164)</f>
        <v>169.0442312</v>
      </c>
      <c r="N190" s="100">
        <f t="shared" ref="N190:AM190" si="5">SUM(N16:N189)</f>
        <v>8685535.908</v>
      </c>
      <c r="O190" s="102">
        <f t="shared" si="5"/>
        <v>665588.165</v>
      </c>
      <c r="P190" s="102">
        <f t="shared" si="5"/>
        <v>911597.99</v>
      </c>
      <c r="Q190" s="102">
        <f t="shared" si="5"/>
        <v>705005</v>
      </c>
      <c r="R190" s="102">
        <f t="shared" si="5"/>
        <v>427922.2545</v>
      </c>
      <c r="S190" s="102">
        <f t="shared" si="5"/>
        <v>62332.54</v>
      </c>
      <c r="T190" s="102">
        <f t="shared" si="5"/>
        <v>464871.72</v>
      </c>
      <c r="U190" s="102">
        <f t="shared" si="5"/>
        <v>448150.74</v>
      </c>
      <c r="V190" s="102">
        <f t="shared" si="5"/>
        <v>1289464.523</v>
      </c>
      <c r="W190" s="102">
        <f t="shared" si="5"/>
        <v>0</v>
      </c>
      <c r="X190" s="102">
        <f t="shared" si="5"/>
        <v>0</v>
      </c>
      <c r="Y190" s="102">
        <f t="shared" si="5"/>
        <v>0</v>
      </c>
      <c r="Z190" s="102">
        <f t="shared" si="5"/>
        <v>0</v>
      </c>
      <c r="AA190" s="102">
        <f t="shared" si="5"/>
        <v>0</v>
      </c>
      <c r="AB190" s="102">
        <f t="shared" si="5"/>
        <v>0</v>
      </c>
      <c r="AC190" s="102">
        <f t="shared" si="5"/>
        <v>0</v>
      </c>
      <c r="AD190" s="102">
        <f t="shared" si="5"/>
        <v>0</v>
      </c>
      <c r="AE190" s="102">
        <f t="shared" si="5"/>
        <v>0</v>
      </c>
      <c r="AF190" s="102">
        <f t="shared" si="5"/>
        <v>0</v>
      </c>
      <c r="AG190" s="102">
        <f t="shared" si="5"/>
        <v>0</v>
      </c>
      <c r="AH190" s="102">
        <f t="shared" si="5"/>
        <v>0</v>
      </c>
      <c r="AI190" s="102">
        <f t="shared" si="5"/>
        <v>0</v>
      </c>
      <c r="AJ190" s="102">
        <f t="shared" si="5"/>
        <v>0</v>
      </c>
      <c r="AK190" s="102">
        <f t="shared" si="5"/>
        <v>0</v>
      </c>
      <c r="AL190" s="100">
        <f t="shared" si="5"/>
        <v>239531.16</v>
      </c>
      <c r="AM190" s="100">
        <f t="shared" si="5"/>
        <v>5214464.093</v>
      </c>
      <c r="AN190" s="101">
        <f t="shared" si="2"/>
        <v>0.3579088441</v>
      </c>
      <c r="AO190" s="13"/>
    </row>
    <row r="191" ht="45.75" customHeight="1">
      <c r="A191" s="95" t="str">
        <f>IFERROR(VLOOKUP(C191,'Product List'!$A$2:$C198,2,FALSE),"")</f>
        <v/>
      </c>
      <c r="B191" s="96" t="str">
        <f>IFERROR(VLOOKUP(C191,'Product List'!$A$2:$C198,3,FALSE),"")</f>
        <v/>
      </c>
      <c r="C191" s="96"/>
      <c r="D191" s="96"/>
      <c r="E191" s="76">
        <f>IFERROR(__xludf.DUMMYFUNCTION("+E190+1"),176.0)</f>
        <v>176</v>
      </c>
      <c r="F191" s="98" t="s">
        <v>428</v>
      </c>
      <c r="G191" s="103">
        <f>G190*Y7</f>
        <v>16921419.26</v>
      </c>
      <c r="H191" s="98"/>
      <c r="I191" s="99">
        <f>I190*Y7</f>
        <v>13900000</v>
      </c>
      <c r="J191" s="104"/>
      <c r="K191" s="100">
        <f>K190*Y7</f>
        <v>13900000</v>
      </c>
      <c r="L191" s="105">
        <f>IFERROR(__xludf.DUMMYFUNCTION("+K191/$K$190"),1.0)</f>
        <v>1</v>
      </c>
      <c r="M191" s="104" t="str">
        <f>IFERROR(__xludf.DUMMYFUNCTION("+K191/$P$8"),"#DIV/0!")</f>
        <v>#DIV/0!</v>
      </c>
      <c r="N191" s="100">
        <f>N190*Y7</f>
        <v>8685535.908</v>
      </c>
      <c r="O191" s="100">
        <f t="shared" ref="O191:AK191" si="6">O190*$Y$7</f>
        <v>665588.165</v>
      </c>
      <c r="P191" s="100">
        <f t="shared" si="6"/>
        <v>911597.99</v>
      </c>
      <c r="Q191" s="100">
        <f t="shared" si="6"/>
        <v>705005</v>
      </c>
      <c r="R191" s="100">
        <f t="shared" si="6"/>
        <v>427922.2545</v>
      </c>
      <c r="S191" s="100">
        <f t="shared" si="6"/>
        <v>62332.54</v>
      </c>
      <c r="T191" s="100">
        <f t="shared" si="6"/>
        <v>464871.72</v>
      </c>
      <c r="U191" s="100">
        <f t="shared" si="6"/>
        <v>448150.74</v>
      </c>
      <c r="V191" s="100">
        <f t="shared" si="6"/>
        <v>1289464.523</v>
      </c>
      <c r="W191" s="100">
        <f t="shared" si="6"/>
        <v>0</v>
      </c>
      <c r="X191" s="100">
        <f t="shared" si="6"/>
        <v>0</v>
      </c>
      <c r="Y191" s="100">
        <f t="shared" si="6"/>
        <v>0</v>
      </c>
      <c r="Z191" s="100">
        <f t="shared" si="6"/>
        <v>0</v>
      </c>
      <c r="AA191" s="100">
        <f t="shared" si="6"/>
        <v>0</v>
      </c>
      <c r="AB191" s="100">
        <f t="shared" si="6"/>
        <v>0</v>
      </c>
      <c r="AC191" s="100">
        <f t="shared" si="6"/>
        <v>0</v>
      </c>
      <c r="AD191" s="100">
        <f t="shared" si="6"/>
        <v>0</v>
      </c>
      <c r="AE191" s="100">
        <f t="shared" si="6"/>
        <v>0</v>
      </c>
      <c r="AF191" s="100">
        <f t="shared" si="6"/>
        <v>0</v>
      </c>
      <c r="AG191" s="100">
        <f t="shared" si="6"/>
        <v>0</v>
      </c>
      <c r="AH191" s="100">
        <f t="shared" si="6"/>
        <v>0</v>
      </c>
      <c r="AI191" s="100">
        <f t="shared" si="6"/>
        <v>0</v>
      </c>
      <c r="AJ191" s="100">
        <f t="shared" si="6"/>
        <v>0</v>
      </c>
      <c r="AK191" s="100">
        <f t="shared" si="6"/>
        <v>0</v>
      </c>
      <c r="AL191" s="106">
        <v>0.0</v>
      </c>
      <c r="AM191" s="100">
        <v>0.0</v>
      </c>
      <c r="AN191" s="101" t="str">
        <f>SUM(AN190-#REF!)</f>
        <v>#REF!</v>
      </c>
      <c r="AO191" s="13"/>
    </row>
    <row r="192" ht="45.75" customHeight="1">
      <c r="A192" s="95" t="str">
        <f>IFERROR(VLOOKUP(C192,'Product List'!$A$2:$C198,2,FALSE),"")</f>
        <v/>
      </c>
      <c r="B192" s="96" t="str">
        <f>IFERROR(VLOOKUP(C192,'Product List'!$A$2:$C198,3,FALSE),"")</f>
        <v/>
      </c>
      <c r="C192" s="96"/>
      <c r="D192" s="96"/>
      <c r="E192" s="76">
        <f>IFERROR(__xludf.DUMMYFUNCTION("+E191+1"),177.0)</f>
        <v>177</v>
      </c>
      <c r="F192" s="98" t="s">
        <v>429</v>
      </c>
      <c r="G192" s="107">
        <f>IFERROR(__xludf.DUMMYFUNCTION("+G190-G191"),0.0)</f>
        <v>0</v>
      </c>
      <c r="H192" s="107">
        <f>IFERROR(__xludf.DUMMYFUNCTION("+H190-H191"),3021419.26)</f>
        <v>3021419.26</v>
      </c>
      <c r="I192" s="107">
        <f>IFERROR(__xludf.DUMMYFUNCTION("+I190-I191"),0.0)</f>
        <v>0</v>
      </c>
      <c r="J192" s="108"/>
      <c r="K192" s="107">
        <f>IFERROR(__xludf.DUMMYFUNCTION("+K190-K191"),0.0)</f>
        <v>0</v>
      </c>
      <c r="L192" s="101">
        <f>SUM(L190-L191)</f>
        <v>0</v>
      </c>
      <c r="M192" s="104"/>
      <c r="N192" s="100">
        <f t="shared" ref="N192:AM192" si="7">N190-N191</f>
        <v>0</v>
      </c>
      <c r="O192" s="100">
        <f t="shared" si="7"/>
        <v>0</v>
      </c>
      <c r="P192" s="100">
        <f t="shared" si="7"/>
        <v>0</v>
      </c>
      <c r="Q192" s="100">
        <f t="shared" si="7"/>
        <v>0</v>
      </c>
      <c r="R192" s="100">
        <f t="shared" si="7"/>
        <v>0</v>
      </c>
      <c r="S192" s="100">
        <f t="shared" si="7"/>
        <v>0</v>
      </c>
      <c r="T192" s="100">
        <f t="shared" si="7"/>
        <v>0</v>
      </c>
      <c r="U192" s="100">
        <f t="shared" si="7"/>
        <v>0</v>
      </c>
      <c r="V192" s="100">
        <f t="shared" si="7"/>
        <v>0</v>
      </c>
      <c r="W192" s="100">
        <f t="shared" si="7"/>
        <v>0</v>
      </c>
      <c r="X192" s="100">
        <f t="shared" si="7"/>
        <v>0</v>
      </c>
      <c r="Y192" s="100">
        <f t="shared" si="7"/>
        <v>0</v>
      </c>
      <c r="Z192" s="100">
        <f t="shared" si="7"/>
        <v>0</v>
      </c>
      <c r="AA192" s="100">
        <f t="shared" si="7"/>
        <v>0</v>
      </c>
      <c r="AB192" s="100">
        <f t="shared" si="7"/>
        <v>0</v>
      </c>
      <c r="AC192" s="100">
        <f t="shared" si="7"/>
        <v>0</v>
      </c>
      <c r="AD192" s="100">
        <f t="shared" si="7"/>
        <v>0</v>
      </c>
      <c r="AE192" s="100">
        <f t="shared" si="7"/>
        <v>0</v>
      </c>
      <c r="AF192" s="100">
        <f t="shared" si="7"/>
        <v>0</v>
      </c>
      <c r="AG192" s="100">
        <f t="shared" si="7"/>
        <v>0</v>
      </c>
      <c r="AH192" s="100">
        <f t="shared" si="7"/>
        <v>0</v>
      </c>
      <c r="AI192" s="100">
        <f t="shared" si="7"/>
        <v>0</v>
      </c>
      <c r="AJ192" s="100">
        <f t="shared" si="7"/>
        <v>0</v>
      </c>
      <c r="AK192" s="100">
        <f t="shared" si="7"/>
        <v>0</v>
      </c>
      <c r="AL192" s="100">
        <f t="shared" si="7"/>
        <v>239531.16</v>
      </c>
      <c r="AM192" s="100">
        <f t="shared" si="7"/>
        <v>5214464.093</v>
      </c>
      <c r="AN192" s="98"/>
      <c r="AO192" s="13"/>
    </row>
    <row r="193" ht="15.75" customHeight="1">
      <c r="A193" s="95" t="str">
        <f>IFERROR(VLOOKUP(C193,'Product List'!$A$2:$C198,2,FALSE),"")</f>
        <v/>
      </c>
      <c r="B193" s="96" t="str">
        <f>IFERROR(VLOOKUP(C193,'Product List'!$A$2:$C198,3,FALSE),"")</f>
        <v/>
      </c>
      <c r="C193" s="96"/>
      <c r="D193" s="96"/>
    </row>
    <row r="194" ht="15.75" customHeight="1">
      <c r="A194" s="95" t="str">
        <f>IFERROR(VLOOKUP(C194,'Product List'!$A$2:$C198,2,FALSE),"")</f>
        <v/>
      </c>
      <c r="B194" s="96" t="str">
        <f>IFERROR(VLOOKUP(C194,'Product List'!$A$2:$C198,3,FALSE),"")</f>
        <v/>
      </c>
      <c r="C194" s="96"/>
      <c r="D194" s="96"/>
    </row>
    <row r="195" ht="15.75" customHeight="1">
      <c r="A195" s="95" t="str">
        <f>IFERROR(VLOOKUP(C195,'Product List'!$A$2:$C198,2,FALSE),"")</f>
        <v/>
      </c>
      <c r="B195" s="96" t="str">
        <f>IFERROR(VLOOKUP(C195,'Product List'!$A$2:$C198,3,FALSE),"")</f>
        <v/>
      </c>
      <c r="C195" s="96"/>
      <c r="D195" s="96"/>
    </row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P7:Q7"/>
    <mergeCell ref="P8:Q8"/>
    <mergeCell ref="P9:Q9"/>
    <mergeCell ref="G10:K10"/>
  </mergeCells>
  <conditionalFormatting sqref="F16:AK189">
    <cfRule type="expression" dxfId="0" priority="1">
      <formula>$AK$3&gt;0</formula>
    </cfRule>
  </conditionalFormatting>
  <conditionalFormatting sqref="G190:I190 I191">
    <cfRule type="cellIs" dxfId="1" priority="2" operator="lessThan">
      <formula>0</formula>
    </cfRule>
  </conditionalFormatting>
  <conditionalFormatting sqref="J16:J55">
    <cfRule type="cellIs" dxfId="2" priority="3" operator="lessThan">
      <formula>0</formula>
    </cfRule>
  </conditionalFormatting>
  <conditionalFormatting sqref="J16:J55">
    <cfRule type="cellIs" dxfId="2" priority="4" operator="greaterThan">
      <formula>0</formula>
    </cfRule>
  </conditionalFormatting>
  <conditionalFormatting sqref="J190">
    <cfRule type="cellIs" dxfId="1" priority="5" operator="greaterThan">
      <formula>0</formula>
    </cfRule>
  </conditionalFormatting>
  <conditionalFormatting sqref="J190">
    <cfRule type="cellIs" dxfId="1" priority="6" operator="greaterThan">
      <formula>" $-   "</formula>
    </cfRule>
  </conditionalFormatting>
  <conditionalFormatting sqref="N16:N189 O67:AK67">
    <cfRule type="cellIs" dxfId="3" priority="7" operator="lessThan">
      <formula>0</formula>
    </cfRule>
  </conditionalFormatting>
  <conditionalFormatting sqref="AN16:AN190">
    <cfRule type="cellIs" dxfId="3" priority="8" operator="greaterThan">
      <formula>1</formula>
    </cfRule>
  </conditionalFormatting>
  <conditionalFormatting sqref="AN190">
    <cfRule type="cellIs" dxfId="3" priority="9" operator="greaterThan">
      <formula>#REF!</formula>
    </cfRule>
  </conditionalFormatting>
  <dataValidations>
    <dataValidation type="list" allowBlank="1" sqref="C193:C195">
      <formula1>'Product List'!$A$2:$A392</formula1>
    </dataValidation>
    <dataValidation type="list" allowBlank="1" sqref="C2:C192">
      <formula1>'Product List'!$A$2:$A198</formula1>
    </dataValidation>
  </dataValidations>
  <printOptions/>
  <pageMargins bottom="0.75" footer="0.0" header="0.0" left="0.7" right="0.7" top="0.75"/>
  <pageSetup orientation="landscape"/>
  <drawing r:id="rId2"/>
  <legacyDrawing r:id="rId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2024-08-08T16:25:37Z</dcterms:created>
  <dc:creator>Eric Cooper</dc:creator>
</cp:coreProperties>
</file>