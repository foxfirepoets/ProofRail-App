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BrkTsPzOVgm3fXVEpMtuRDcSqVpOHj1FvigKK1QNRWo="/>
    </ext>
  </extLst>
</workbook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<sst xmlns="http://schemas.openxmlformats.org/spreadsheetml/2006/main" count="465" uniqueCount="430">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</sst>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horizontal="right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11494705.24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7000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3">
        <v>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6">SUM(O16:AL16)</f>
        <v>0</v>
      </c>
      <c r="AN16" s="86">
        <f t="shared" ref="AN16:AN190" si="7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611850.35</v>
      </c>
      <c r="O17" s="87">
        <f>115016.94-5283.3</f>
        <v>109733.64</v>
      </c>
      <c r="P17" s="88">
        <v>0.0</v>
      </c>
      <c r="Q17" s="89">
        <v>161975.0</v>
      </c>
      <c r="R17" s="88">
        <v>0.0</v>
      </c>
      <c r="S17" s="89">
        <v>0.0</v>
      </c>
      <c r="T17" s="89">
        <v>0.0</v>
      </c>
      <c r="U17" s="89">
        <v>0.0</v>
      </c>
      <c r="V17" s="89">
        <v>0.0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v>13808.3</v>
      </c>
      <c r="AM17" s="85">
        <f t="shared" si="6"/>
        <v>285516.94</v>
      </c>
      <c r="AN17" s="86">
        <f t="shared" si="7"/>
        <v>0.3027842033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177823.67</v>
      </c>
      <c r="O18" s="87">
        <v>7268.96</v>
      </c>
      <c r="P18" s="88">
        <v>0.0</v>
      </c>
      <c r="Q18" s="89">
        <v>2457.93</v>
      </c>
      <c r="R18" s="88">
        <v>0.0</v>
      </c>
      <c r="S18" s="89">
        <v>0.0</v>
      </c>
      <c r="T18" s="89">
        <v>0.0</v>
      </c>
      <c r="U18" s="89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6"/>
        <v>14186.91</v>
      </c>
      <c r="AN18" s="86">
        <f t="shared" si="7"/>
        <v>0.05065809394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389153.62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9">
        <v>0.0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78698.41</v>
      </c>
      <c r="AM20" s="85">
        <f t="shared" si="6"/>
        <v>1573968.38</v>
      </c>
      <c r="AN20" s="86">
        <f t="shared" si="7"/>
        <v>0.7616795951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235254.4</v>
      </c>
      <c r="O21" s="81">
        <v>0.0</v>
      </c>
      <c r="P21" s="88">
        <v>0.0</v>
      </c>
      <c r="Q21" s="89">
        <v>0.0</v>
      </c>
      <c r="R21" s="88">
        <v>0.0</v>
      </c>
      <c r="S21" s="89">
        <v>0.0</v>
      </c>
      <c r="T21" s="89">
        <v>0.0</v>
      </c>
      <c r="U21" s="89">
        <v>0.0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85"/>
      <c r="AM21" s="85">
        <f t="shared" si="6"/>
        <v>0</v>
      </c>
      <c r="AN21" s="86">
        <f t="shared" si="7"/>
        <v>0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196050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9">
        <v>0.0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85"/>
      <c r="AM24" s="85">
        <f t="shared" si="6"/>
        <v>0</v>
      </c>
      <c r="AN24" s="86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170000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9">
        <v>0.0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85"/>
      <c r="AM25" s="85">
        <f t="shared" si="6"/>
        <v>0</v>
      </c>
      <c r="AN25" s="86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95488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9">
        <v>0.0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85"/>
      <c r="AM26" s="85">
        <f t="shared" si="6"/>
        <v>0</v>
      </c>
      <c r="AN26" s="86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255500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85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600000</v>
      </c>
      <c r="O29" s="81">
        <v>0.0</v>
      </c>
      <c r="P29" s="88">
        <f>62500-3125</f>
        <v>59375</v>
      </c>
      <c r="Q29" s="89">
        <v>106875.0</v>
      </c>
      <c r="R29" s="88">
        <v>0.0</v>
      </c>
      <c r="S29" s="89">
        <v>0.0</v>
      </c>
      <c r="T29" s="89">
        <v>0.0</v>
      </c>
      <c r="U29" s="89">
        <v>0.0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20000.0</v>
      </c>
      <c r="AM29" s="85">
        <f t="shared" si="6"/>
        <v>186250</v>
      </c>
      <c r="AN29" s="86">
        <f t="shared" si="7"/>
        <v>0.2114467409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1125000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6000.0</v>
      </c>
      <c r="AM30" s="85">
        <f t="shared" si="6"/>
        <v>120000</v>
      </c>
      <c r="AN30" s="86">
        <f t="shared" si="7"/>
        <v>0.09156626506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786352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85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1.90048281</v>
      </c>
      <c r="N32" s="80">
        <f t="shared" si="5"/>
        <v>156271</v>
      </c>
      <c r="O32" s="81">
        <v>0.0</v>
      </c>
      <c r="P32" s="88">
        <v>0.0</v>
      </c>
      <c r="Q32" s="89">
        <v>0.0</v>
      </c>
      <c r="R32" s="88">
        <v>0.0</v>
      </c>
      <c r="S32" s="89">
        <v>0.0</v>
      </c>
      <c r="T32" s="89">
        <v>0.0</v>
      </c>
      <c r="U32" s="89">
        <v>0.0</v>
      </c>
      <c r="V32" s="89">
        <v>0.0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85"/>
      <c r="AM32" s="85">
        <f t="shared" si="6"/>
        <v>0</v>
      </c>
      <c r="AN32" s="86">
        <f t="shared" si="7"/>
        <v>0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10000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77757.03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9">
        <v>0.0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85"/>
      <c r="AM34" s="85">
        <f t="shared" si="6"/>
        <v>0</v>
      </c>
      <c r="AN34" s="86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6"/>
        <v>136.88</v>
      </c>
      <c r="AN35" s="86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850750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85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10000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9">
        <v>0.0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58110.22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9">
        <v>0.0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7850</v>
      </c>
      <c r="O47" s="81">
        <v>0.0</v>
      </c>
      <c r="P47" s="88">
        <v>0.0</v>
      </c>
      <c r="Q47" s="89">
        <v>0.0</v>
      </c>
      <c r="R47" s="88">
        <v>0.0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6"/>
        <v>0</v>
      </c>
      <c r="AN47" s="86">
        <f t="shared" si="7"/>
        <v>0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748952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9">
        <v>0.0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85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15.12433288</v>
      </c>
      <c r="N66" s="80">
        <f t="shared" si="5"/>
        <v>1243628.52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1">
        <v>0.0</v>
      </c>
      <c r="P67" s="92">
        <v>0.0</v>
      </c>
      <c r="Q67" s="93">
        <v>0.0</v>
      </c>
      <c r="R67" s="88">
        <v>0.0</v>
      </c>
      <c r="S67" s="94">
        <v>0.0</v>
      </c>
      <c r="T67" s="94">
        <v>0.0</v>
      </c>
      <c r="U67" s="94">
        <v>0.0</v>
      </c>
      <c r="V67" s="94">
        <v>0.0</v>
      </c>
      <c r="W67" s="94">
        <v>0.0</v>
      </c>
      <c r="X67" s="94">
        <v>0.0</v>
      </c>
      <c r="Y67" s="94">
        <v>0.0</v>
      </c>
      <c r="Z67" s="94">
        <v>0.0</v>
      </c>
      <c r="AA67" s="94">
        <v>0.0</v>
      </c>
      <c r="AB67" s="94">
        <v>0.0</v>
      </c>
      <c r="AC67" s="94">
        <v>0.0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  <c r="AI67" s="94">
        <v>0.0</v>
      </c>
      <c r="AJ67" s="94">
        <v>0.0</v>
      </c>
      <c r="AK67" s="95">
        <v>0.0</v>
      </c>
      <c r="AL67" s="85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0.07825057463</v>
      </c>
      <c r="N68" s="80">
        <f t="shared" si="5"/>
        <v>4363.02</v>
      </c>
      <c r="O68" s="87">
        <v>373.54</v>
      </c>
      <c r="P68" s="88">
        <v>239.79</v>
      </c>
      <c r="Q68" s="89">
        <v>1457.96</v>
      </c>
      <c r="R68" s="88">
        <v>0.0</v>
      </c>
      <c r="S68" s="89">
        <v>0.0</v>
      </c>
      <c r="T68" s="89">
        <v>0.0</v>
      </c>
      <c r="U68" s="89">
        <v>0.0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6"/>
        <v>2071.29</v>
      </c>
      <c r="AN68" s="86">
        <f t="shared" si="7"/>
        <v>0.3219133054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19466.75</v>
      </c>
      <c r="O69" s="87">
        <v>75.0</v>
      </c>
      <c r="P69" s="88">
        <v>1042.4</v>
      </c>
      <c r="Q69" s="89">
        <v>1415.85</v>
      </c>
      <c r="R69" s="88">
        <v>0.0</v>
      </c>
      <c r="S69" s="89">
        <v>0.0</v>
      </c>
      <c r="T69" s="89">
        <v>0.0</v>
      </c>
      <c r="U69" s="89">
        <v>0.0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6"/>
        <v>2533.25</v>
      </c>
      <c r="AN69" s="86">
        <f t="shared" si="7"/>
        <v>0.1151477273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10970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25000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9">
        <v>0.0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6"/>
        <v>0</v>
      </c>
      <c r="AN71" s="86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6750</v>
      </c>
      <c r="O75" s="87">
        <v>900.0</v>
      </c>
      <c r="P75" s="88">
        <v>450.0</v>
      </c>
      <c r="Q75" s="89">
        <v>900.0</v>
      </c>
      <c r="R75" s="88">
        <v>0.0</v>
      </c>
      <c r="S75" s="89">
        <v>0.0</v>
      </c>
      <c r="T75" s="89">
        <v>0.0</v>
      </c>
      <c r="U75" s="89">
        <v>0.0</v>
      </c>
      <c r="V75" s="89">
        <v>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6"/>
        <v>2250</v>
      </c>
      <c r="AN75" s="86">
        <f t="shared" si="7"/>
        <v>0.25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5154.86</v>
      </c>
      <c r="O76" s="87">
        <v>243.49</v>
      </c>
      <c r="P76" s="88">
        <v>1797.51</v>
      </c>
      <c r="Q76" s="89">
        <v>304.14</v>
      </c>
      <c r="R76" s="88">
        <v>0.0</v>
      </c>
      <c r="S76" s="89">
        <v>0.0</v>
      </c>
      <c r="T76" s="89">
        <v>0.0</v>
      </c>
      <c r="U76" s="89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6"/>
        <v>2345.14</v>
      </c>
      <c r="AN76" s="86">
        <f t="shared" si="7"/>
        <v>0.3126853333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7874.77</v>
      </c>
      <c r="O77" s="87">
        <v>3299.17</v>
      </c>
      <c r="P77" s="88">
        <v>203.3</v>
      </c>
      <c r="Q77" s="89">
        <v>2122.76</v>
      </c>
      <c r="R77" s="88">
        <v>0.0</v>
      </c>
      <c r="S77" s="89">
        <v>0.0</v>
      </c>
      <c r="T77" s="89">
        <v>0.0</v>
      </c>
      <c r="U77" s="89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6"/>
        <v>5625.23</v>
      </c>
      <c r="AN77" s="86">
        <f t="shared" si="7"/>
        <v>0.4166837037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26750</v>
      </c>
      <c r="O78" s="87">
        <v>2750.0</v>
      </c>
      <c r="P78" s="88">
        <v>2750.0</v>
      </c>
      <c r="Q78" s="89">
        <v>2750.0</v>
      </c>
      <c r="R78" s="88">
        <v>0.0</v>
      </c>
      <c r="S78" s="89">
        <v>0.0</v>
      </c>
      <c r="T78" s="89">
        <v>0.0</v>
      </c>
      <c r="U78" s="89">
        <v>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6"/>
        <v>8250</v>
      </c>
      <c r="AN78" s="86">
        <f t="shared" si="7"/>
        <v>0.2357142857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0.06642586985</v>
      </c>
      <c r="N79" s="80">
        <f t="shared" si="5"/>
        <v>1405.6</v>
      </c>
      <c r="O79" s="87">
        <v>74.8</v>
      </c>
      <c r="P79" s="88">
        <v>3720.8</v>
      </c>
      <c r="Q79" s="89">
        <v>260.8</v>
      </c>
      <c r="R79" s="88">
        <v>0.0</v>
      </c>
      <c r="S79" s="89">
        <v>0.0</v>
      </c>
      <c r="T79" s="89">
        <v>0.0</v>
      </c>
      <c r="U79" s="89">
        <v>0.0</v>
      </c>
      <c r="V79" s="89">
        <v>0.0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6"/>
        <v>4056.4</v>
      </c>
      <c r="AN79" s="86">
        <f t="shared" si="7"/>
        <v>0.7426583669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30000</v>
      </c>
      <c r="O81" s="81">
        <v>0.0</v>
      </c>
      <c r="P81" s="88">
        <v>0.0</v>
      </c>
      <c r="Q81" s="89">
        <v>0.0</v>
      </c>
      <c r="R81" s="88">
        <v>0.0</v>
      </c>
      <c r="S81" s="89">
        <v>0.0</v>
      </c>
      <c r="T81" s="89">
        <v>0.0</v>
      </c>
      <c r="U81" s="89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6"/>
        <v>0</v>
      </c>
      <c r="AN81" s="86">
        <f t="shared" si="7"/>
        <v>0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170000</v>
      </c>
      <c r="O83" s="87">
        <v>29000.0</v>
      </c>
      <c r="P83" s="88">
        <v>17000.0</v>
      </c>
      <c r="Q83" s="89">
        <v>17000.0</v>
      </c>
      <c r="R83" s="88">
        <v>0.0</v>
      </c>
      <c r="S83" s="89">
        <v>0.0</v>
      </c>
      <c r="T83" s="89">
        <v>0.0</v>
      </c>
      <c r="U83" s="89">
        <v>0.0</v>
      </c>
      <c r="V83" s="89">
        <v>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6"/>
        <v>63000</v>
      </c>
      <c r="AN83" s="86">
        <f t="shared" si="7"/>
        <v>0.2703862661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599379.185</v>
      </c>
      <c r="O86" s="81">
        <v>31670.86500000001</v>
      </c>
      <c r="P86" s="88">
        <v>45486.89</v>
      </c>
      <c r="Q86" s="88">
        <v>56446.59</v>
      </c>
      <c r="R86" s="88">
        <v>0.0</v>
      </c>
      <c r="S86" s="89">
        <v>0.0</v>
      </c>
      <c r="T86" s="89">
        <v>0.0</v>
      </c>
      <c r="U86" s="89">
        <v>0.0</v>
      </c>
      <c r="V86" s="89">
        <v>0.0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6"/>
        <v>133604.345</v>
      </c>
      <c r="AN86" s="86">
        <f t="shared" si="7"/>
        <v>0.182274689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6" t="str">
        <f>IFERROR(VLOOKUP(C189,'Product List'!$A$2:$C198,2,FALSE),"")</f>
        <v/>
      </c>
      <c r="B189" s="97" t="str">
        <f>IFERROR(VLOOKUP(C189,'Product List'!$A$2:$C198,3,FALSE),"")</f>
        <v/>
      </c>
      <c r="C189" s="97"/>
      <c r="D189" s="97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10500</v>
      </c>
      <c r="O189" s="98">
        <f t="shared" ref="O189:AK189" si="9">IF(SUM(O16:O188)&gt;0,$Y$8,0)</f>
        <v>500</v>
      </c>
      <c r="P189" s="98">
        <f t="shared" si="9"/>
        <v>500</v>
      </c>
      <c r="Q189" s="98">
        <f t="shared" si="9"/>
        <v>500</v>
      </c>
      <c r="R189" s="98">
        <f t="shared" si="9"/>
        <v>0</v>
      </c>
      <c r="S189" s="98">
        <f t="shared" si="9"/>
        <v>0</v>
      </c>
      <c r="T189" s="98">
        <f t="shared" si="9"/>
        <v>0</v>
      </c>
      <c r="U189" s="98">
        <f t="shared" si="9"/>
        <v>0</v>
      </c>
      <c r="V189" s="98">
        <f t="shared" si="9"/>
        <v>0</v>
      </c>
      <c r="W189" s="98">
        <f t="shared" si="9"/>
        <v>0</v>
      </c>
      <c r="X189" s="98">
        <f t="shared" si="9"/>
        <v>0</v>
      </c>
      <c r="Y189" s="98">
        <f t="shared" si="9"/>
        <v>0</v>
      </c>
      <c r="Z189" s="98">
        <f t="shared" si="9"/>
        <v>0</v>
      </c>
      <c r="AA189" s="98">
        <f t="shared" si="9"/>
        <v>0</v>
      </c>
      <c r="AB189" s="98">
        <f t="shared" si="9"/>
        <v>0</v>
      </c>
      <c r="AC189" s="98">
        <f t="shared" si="9"/>
        <v>0</v>
      </c>
      <c r="AD189" s="98">
        <f t="shared" si="9"/>
        <v>0</v>
      </c>
      <c r="AE189" s="98">
        <f t="shared" si="9"/>
        <v>0</v>
      </c>
      <c r="AF189" s="98">
        <f t="shared" si="9"/>
        <v>0</v>
      </c>
      <c r="AG189" s="98">
        <f t="shared" si="9"/>
        <v>0</v>
      </c>
      <c r="AH189" s="98">
        <f t="shared" si="9"/>
        <v>0</v>
      </c>
      <c r="AI189" s="98">
        <f t="shared" si="9"/>
        <v>0</v>
      </c>
      <c r="AJ189" s="98">
        <f t="shared" si="9"/>
        <v>0</v>
      </c>
      <c r="AK189" s="98">
        <f t="shared" si="9"/>
        <v>0</v>
      </c>
      <c r="AL189" s="85"/>
      <c r="AM189" s="85">
        <f t="shared" si="6"/>
        <v>1500</v>
      </c>
      <c r="AN189" s="86">
        <f t="shared" si="7"/>
        <v>0.125</v>
      </c>
      <c r="AO189" s="13"/>
    </row>
    <row r="190" ht="45.75" customHeight="1">
      <c r="A190" s="96" t="str">
        <f>IFERROR(VLOOKUP(C190,'Product List'!$A$2:$C198,2,FALSE),"")</f>
        <v/>
      </c>
      <c r="B190" s="97" t="str">
        <f>IFERROR(VLOOKUP(C190,'Product List'!$A$2:$C198,3,FALSE),"")</f>
        <v/>
      </c>
      <c r="C190" s="97"/>
      <c r="D190" s="97"/>
      <c r="E190" s="76">
        <v>175.0</v>
      </c>
      <c r="F190" s="99" t="s">
        <v>427</v>
      </c>
      <c r="G190" s="100">
        <f t="shared" ref="G190:L190" si="10">SUM(G16:G189)</f>
        <v>16921419.26</v>
      </c>
      <c r="H190" s="100">
        <f t="shared" si="10"/>
        <v>3021419.26</v>
      </c>
      <c r="I190" s="100">
        <f t="shared" si="10"/>
        <v>13900000</v>
      </c>
      <c r="J190" s="101">
        <f t="shared" si="10"/>
        <v>0</v>
      </c>
      <c r="K190" s="101">
        <f t="shared" si="10"/>
        <v>13900000</v>
      </c>
      <c r="L190" s="102">
        <f t="shared" si="10"/>
        <v>1</v>
      </c>
      <c r="M190" s="101">
        <f t="shared" si="4"/>
        <v>169.0442312</v>
      </c>
      <c r="N190" s="101">
        <f t="shared" ref="N190:AM190" si="11">SUM(N16:N189)</f>
        <v>11494705.24</v>
      </c>
      <c r="O190" s="103">
        <f t="shared" si="11"/>
        <v>665588.165</v>
      </c>
      <c r="P190" s="103">
        <f t="shared" si="11"/>
        <v>911597.99</v>
      </c>
      <c r="Q190" s="103">
        <f t="shared" si="11"/>
        <v>705005</v>
      </c>
      <c r="R190" s="103">
        <f t="shared" si="11"/>
        <v>0</v>
      </c>
      <c r="S190" s="103">
        <f t="shared" si="11"/>
        <v>0</v>
      </c>
      <c r="T190" s="103">
        <f t="shared" si="11"/>
        <v>0</v>
      </c>
      <c r="U190" s="103">
        <f t="shared" si="11"/>
        <v>0</v>
      </c>
      <c r="V190" s="103">
        <f t="shared" si="11"/>
        <v>0</v>
      </c>
      <c r="W190" s="103">
        <f t="shared" si="11"/>
        <v>0</v>
      </c>
      <c r="X190" s="103">
        <f t="shared" si="11"/>
        <v>0</v>
      </c>
      <c r="Y190" s="103">
        <f t="shared" si="11"/>
        <v>0</v>
      </c>
      <c r="Z190" s="103">
        <f t="shared" si="11"/>
        <v>0</v>
      </c>
      <c r="AA190" s="103">
        <f t="shared" si="11"/>
        <v>0</v>
      </c>
      <c r="AB190" s="103">
        <f t="shared" si="11"/>
        <v>0</v>
      </c>
      <c r="AC190" s="103">
        <f t="shared" si="11"/>
        <v>0</v>
      </c>
      <c r="AD190" s="103">
        <f t="shared" si="11"/>
        <v>0</v>
      </c>
      <c r="AE190" s="103">
        <f t="shared" si="11"/>
        <v>0</v>
      </c>
      <c r="AF190" s="103">
        <f t="shared" si="11"/>
        <v>0</v>
      </c>
      <c r="AG190" s="103">
        <f t="shared" si="11"/>
        <v>0</v>
      </c>
      <c r="AH190" s="103">
        <f t="shared" si="11"/>
        <v>0</v>
      </c>
      <c r="AI190" s="103">
        <f t="shared" si="11"/>
        <v>0</v>
      </c>
      <c r="AJ190" s="103">
        <f t="shared" si="11"/>
        <v>0</v>
      </c>
      <c r="AK190" s="103">
        <f t="shared" si="11"/>
        <v>0</v>
      </c>
      <c r="AL190" s="101">
        <f t="shared" si="11"/>
        <v>123103.61</v>
      </c>
      <c r="AM190" s="101">
        <f t="shared" si="11"/>
        <v>2405294.765</v>
      </c>
      <c r="AN190" s="102">
        <f t="shared" si="7"/>
        <v>0.164186414</v>
      </c>
      <c r="AO190" s="13"/>
    </row>
    <row r="191" ht="45.75" customHeight="1">
      <c r="A191" s="96" t="str">
        <f>IFERROR(VLOOKUP(C191,'Product List'!$A$2:$C198,2,FALSE),"")</f>
        <v/>
      </c>
      <c r="B191" s="97" t="str">
        <f>IFERROR(VLOOKUP(C191,'Product List'!$A$2:$C198,3,FALSE),"")</f>
        <v/>
      </c>
      <c r="C191" s="97"/>
      <c r="D191" s="97"/>
      <c r="E191" s="76">
        <v>177.0</v>
      </c>
      <c r="F191" s="99" t="s">
        <v>428</v>
      </c>
      <c r="G191" s="104">
        <f>G190*Y7</f>
        <v>16921419.26</v>
      </c>
      <c r="H191" s="99"/>
      <c r="I191" s="100">
        <f>I190*Y7</f>
        <v>13900000</v>
      </c>
      <c r="J191" s="105"/>
      <c r="K191" s="101">
        <f>K190*Y7</f>
        <v>13900000</v>
      </c>
      <c r="L191" s="106">
        <f>+K191/$K$190</f>
        <v>1</v>
      </c>
      <c r="M191" s="105" t="str">
        <f>+K191/$P$8</f>
        <v>#DIV/0!</v>
      </c>
      <c r="N191" s="101">
        <f>N190*Y7</f>
        <v>11494705.24</v>
      </c>
      <c r="O191" s="101">
        <f t="shared" ref="O191:AK191" si="12">O190*$Y$7</f>
        <v>665588.165</v>
      </c>
      <c r="P191" s="101">
        <f t="shared" si="12"/>
        <v>911597.99</v>
      </c>
      <c r="Q191" s="101">
        <f t="shared" si="12"/>
        <v>705005</v>
      </c>
      <c r="R191" s="101">
        <f t="shared" si="12"/>
        <v>0</v>
      </c>
      <c r="S191" s="101">
        <f t="shared" si="12"/>
        <v>0</v>
      </c>
      <c r="T191" s="101">
        <f t="shared" si="12"/>
        <v>0</v>
      </c>
      <c r="U191" s="101">
        <f t="shared" si="12"/>
        <v>0</v>
      </c>
      <c r="V191" s="101">
        <f t="shared" si="12"/>
        <v>0</v>
      </c>
      <c r="W191" s="101">
        <f t="shared" si="12"/>
        <v>0</v>
      </c>
      <c r="X191" s="101">
        <f t="shared" si="12"/>
        <v>0</v>
      </c>
      <c r="Y191" s="101">
        <f t="shared" si="12"/>
        <v>0</v>
      </c>
      <c r="Z191" s="101">
        <f t="shared" si="12"/>
        <v>0</v>
      </c>
      <c r="AA191" s="101">
        <f t="shared" si="12"/>
        <v>0</v>
      </c>
      <c r="AB191" s="101">
        <f t="shared" si="12"/>
        <v>0</v>
      </c>
      <c r="AC191" s="101">
        <f t="shared" si="12"/>
        <v>0</v>
      </c>
      <c r="AD191" s="101">
        <f t="shared" si="12"/>
        <v>0</v>
      </c>
      <c r="AE191" s="101">
        <f t="shared" si="12"/>
        <v>0</v>
      </c>
      <c r="AF191" s="101">
        <f t="shared" si="12"/>
        <v>0</v>
      </c>
      <c r="AG191" s="101">
        <f t="shared" si="12"/>
        <v>0</v>
      </c>
      <c r="AH191" s="101">
        <f t="shared" si="12"/>
        <v>0</v>
      </c>
      <c r="AI191" s="101">
        <f t="shared" si="12"/>
        <v>0</v>
      </c>
      <c r="AJ191" s="101">
        <f t="shared" si="12"/>
        <v>0</v>
      </c>
      <c r="AK191" s="101">
        <f t="shared" si="12"/>
        <v>0</v>
      </c>
      <c r="AL191" s="107">
        <v>0.0</v>
      </c>
      <c r="AM191" s="101">
        <v>0.0</v>
      </c>
      <c r="AN191" s="102" t="str">
        <f>SUM(AN190-#REF!)</f>
        <v>#REF!</v>
      </c>
      <c r="AO191" s="13"/>
    </row>
    <row r="192" ht="45.75" customHeight="1">
      <c r="A192" s="96" t="str">
        <f>IFERROR(VLOOKUP(C192,'Product List'!$A$2:$C198,2,FALSE),"")</f>
        <v/>
      </c>
      <c r="B192" s="97" t="str">
        <f>IFERROR(VLOOKUP(C192,'Product List'!$A$2:$C198,3,FALSE),"")</f>
        <v/>
      </c>
      <c r="C192" s="97"/>
      <c r="D192" s="97"/>
      <c r="E192" s="76">
        <v>180.0</v>
      </c>
      <c r="F192" s="99" t="s">
        <v>429</v>
      </c>
      <c r="G192" s="108">
        <f t="shared" ref="G192:I192" si="13">+G190-G191</f>
        <v>0</v>
      </c>
      <c r="H192" s="108">
        <f t="shared" si="13"/>
        <v>3021419.26</v>
      </c>
      <c r="I192" s="108">
        <f t="shared" si="13"/>
        <v>0</v>
      </c>
      <c r="J192" s="109"/>
      <c r="K192" s="108">
        <f>+K190-K191</f>
        <v>0</v>
      </c>
      <c r="L192" s="102">
        <f>SUM(L190-L191)</f>
        <v>0</v>
      </c>
      <c r="M192" s="105"/>
      <c r="N192" s="101">
        <f t="shared" ref="N192:AM192" si="14">N190-N191</f>
        <v>0</v>
      </c>
      <c r="O192" s="101">
        <f t="shared" si="14"/>
        <v>0</v>
      </c>
      <c r="P192" s="101">
        <f t="shared" si="14"/>
        <v>0</v>
      </c>
      <c r="Q192" s="101">
        <f t="shared" si="14"/>
        <v>0</v>
      </c>
      <c r="R192" s="101">
        <f t="shared" si="14"/>
        <v>0</v>
      </c>
      <c r="S192" s="101">
        <f t="shared" si="14"/>
        <v>0</v>
      </c>
      <c r="T192" s="101">
        <f t="shared" si="14"/>
        <v>0</v>
      </c>
      <c r="U192" s="101">
        <f t="shared" si="14"/>
        <v>0</v>
      </c>
      <c r="V192" s="101">
        <f t="shared" si="14"/>
        <v>0</v>
      </c>
      <c r="W192" s="101">
        <f t="shared" si="14"/>
        <v>0</v>
      </c>
      <c r="X192" s="101">
        <f t="shared" si="14"/>
        <v>0</v>
      </c>
      <c r="Y192" s="101">
        <f t="shared" si="14"/>
        <v>0</v>
      </c>
      <c r="Z192" s="101">
        <f t="shared" si="14"/>
        <v>0</v>
      </c>
      <c r="AA192" s="101">
        <f t="shared" si="14"/>
        <v>0</v>
      </c>
      <c r="AB192" s="101">
        <f t="shared" si="14"/>
        <v>0</v>
      </c>
      <c r="AC192" s="101">
        <f t="shared" si="14"/>
        <v>0</v>
      </c>
      <c r="AD192" s="101">
        <f t="shared" si="14"/>
        <v>0</v>
      </c>
      <c r="AE192" s="101">
        <f t="shared" si="14"/>
        <v>0</v>
      </c>
      <c r="AF192" s="101">
        <f t="shared" si="14"/>
        <v>0</v>
      </c>
      <c r="AG192" s="101">
        <f t="shared" si="14"/>
        <v>0</v>
      </c>
      <c r="AH192" s="101">
        <f t="shared" si="14"/>
        <v>0</v>
      </c>
      <c r="AI192" s="101">
        <f t="shared" si="14"/>
        <v>0</v>
      </c>
      <c r="AJ192" s="101">
        <f t="shared" si="14"/>
        <v>0</v>
      </c>
      <c r="AK192" s="101">
        <f t="shared" si="14"/>
        <v>0</v>
      </c>
      <c r="AL192" s="101">
        <f t="shared" si="14"/>
        <v>123103.61</v>
      </c>
      <c r="AM192" s="101">
        <f t="shared" si="14"/>
        <v>2405294.765</v>
      </c>
      <c r="AN192" s="99"/>
      <c r="AO192" s="13"/>
    </row>
    <row r="193" ht="15.75" customHeight="1">
      <c r="A193" s="96" t="str">
        <f>IFERROR(VLOOKUP(C193,'Product List'!$A$2:$C198,2,FALSE),"")</f>
        <v/>
      </c>
      <c r="B193" s="97" t="str">
        <f>IFERROR(VLOOKUP(C193,'Product List'!$A$2:$C198,3,FALSE),"")</f>
        <v/>
      </c>
      <c r="C193" s="97"/>
      <c r="D193" s="97"/>
    </row>
    <row r="194" ht="15.75" customHeight="1">
      <c r="A194" s="96" t="str">
        <f>IFERROR(VLOOKUP(C194,'Product List'!$A$2:$C198,2,FALSE),"")</f>
        <v/>
      </c>
      <c r="B194" s="97" t="str">
        <f>IFERROR(VLOOKUP(C194,'Product List'!$A$2:$C198,3,FALSE),"")</f>
        <v/>
      </c>
      <c r="C194" s="97"/>
      <c r="D194" s="97"/>
    </row>
    <row r="195" ht="15.75" customHeight="1">
      <c r="A195" s="96" t="str">
        <f>IFERROR(VLOOKUP(C195,'Product List'!$A$2:$C198,2,FALSE),"")</f>
        <v/>
      </c>
      <c r="B195" s="97" t="str">
        <f>IFERROR(VLOOKUP(C195,'Product List'!$A$2:$C198,3,FALSE),"")</f>
        <v/>
      </c>
      <c r="C195" s="97"/>
      <c r="D195" s="9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