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V7/SuedynPWn+bc4TkV3jOG4YGwQ/H2LZo0tAvZLk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<sst xmlns="http://schemas.openxmlformats.org/spreadsheetml/2006/main" count="465" uniqueCount="430">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</sst>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10036262.75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7000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3">
        <v>0.0</v>
      </c>
      <c r="X16" s="83">
        <v>0.0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/>
      <c r="AM16" s="85">
        <f t="shared" ref="AM16:AM189" si="6">SUM(O16:AL16)</f>
        <v>0</v>
      </c>
      <c r="AN16" s="86">
        <f t="shared" ref="AN16:AN190" si="7">IF(K16=0,"",(K16-N16-AL16)/K16)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51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438225.35</v>
      </c>
      <c r="O17" s="87">
        <f>115016.94-5283.3</f>
        <v>109733.64</v>
      </c>
      <c r="P17" s="88">
        <v>0.0</v>
      </c>
      <c r="Q17" s="89">
        <v>161975.0</v>
      </c>
      <c r="R17" s="88">
        <v>132681.75</v>
      </c>
      <c r="S17" s="88">
        <f>33960-1698</f>
        <v>32262</v>
      </c>
      <c r="T17" s="89">
        <v>0.0</v>
      </c>
      <c r="U17" s="89">
        <v>0.0</v>
      </c>
      <c r="V17" s="89">
        <v>0.0</v>
      </c>
      <c r="W17" s="89">
        <v>0.0</v>
      </c>
      <c r="X17" s="89">
        <v>0.0</v>
      </c>
      <c r="Y17" s="89">
        <v>0.0</v>
      </c>
      <c r="Z17" s="89">
        <v>0.0</v>
      </c>
      <c r="AA17" s="89">
        <v>0.0</v>
      </c>
      <c r="AB17" s="89">
        <v>0.0</v>
      </c>
      <c r="AC17" s="89">
        <v>0.0</v>
      </c>
      <c r="AD17" s="89">
        <v>0.0</v>
      </c>
      <c r="AE17" s="89">
        <v>0.0</v>
      </c>
      <c r="AF17" s="89">
        <v>0.0</v>
      </c>
      <c r="AG17" s="89">
        <v>0.0</v>
      </c>
      <c r="AH17" s="89">
        <v>0.0</v>
      </c>
      <c r="AI17" s="89">
        <v>0.0</v>
      </c>
      <c r="AJ17" s="89">
        <v>0.0</v>
      </c>
      <c r="AK17" s="90">
        <v>0.0</v>
      </c>
      <c r="AL17" s="91">
        <f>20791.55+1698</f>
        <v>22489.55</v>
      </c>
      <c r="AM17" s="85">
        <f t="shared" si="6"/>
        <v>459141.94</v>
      </c>
      <c r="AN17" s="86">
        <f t="shared" si="7"/>
        <v>0.4865927195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171122.61</v>
      </c>
      <c r="O18" s="87">
        <v>7268.96</v>
      </c>
      <c r="P18" s="88">
        <v>0.0</v>
      </c>
      <c r="Q18" s="89">
        <v>2457.93</v>
      </c>
      <c r="R18" s="88">
        <v>4200.0</v>
      </c>
      <c r="S18" s="88">
        <v>2501.06</v>
      </c>
      <c r="T18" s="89">
        <v>0.0</v>
      </c>
      <c r="U18" s="89">
        <v>0.0</v>
      </c>
      <c r="V18" s="89">
        <v>0.0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0.0</v>
      </c>
      <c r="AC18" s="89">
        <v>0.0</v>
      </c>
      <c r="AD18" s="89">
        <v>0.0</v>
      </c>
      <c r="AE18" s="89">
        <v>0.0</v>
      </c>
      <c r="AF18" s="89">
        <v>0.0</v>
      </c>
      <c r="AG18" s="89">
        <v>0.0</v>
      </c>
      <c r="AH18" s="89">
        <v>0.0</v>
      </c>
      <c r="AI18" s="89">
        <v>0.0</v>
      </c>
      <c r="AJ18" s="89">
        <v>0.0</v>
      </c>
      <c r="AK18" s="90">
        <v>0.0</v>
      </c>
      <c r="AL18" s="91">
        <v>4460.02</v>
      </c>
      <c r="AM18" s="85">
        <f t="shared" si="6"/>
        <v>20887.97</v>
      </c>
      <c r="AN18" s="86">
        <f t="shared" si="7"/>
        <v>0.08555752501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8">
        <v>0.0</v>
      </c>
      <c r="Q19" s="89">
        <v>0.0</v>
      </c>
      <c r="R19" s="88">
        <v>0.0</v>
      </c>
      <c r="S19" s="89">
        <v>0.0</v>
      </c>
      <c r="T19" s="89">
        <v>0.0</v>
      </c>
      <c r="U19" s="89">
        <v>0.0</v>
      </c>
      <c r="V19" s="89">
        <v>0.0</v>
      </c>
      <c r="W19" s="89">
        <v>0.0</v>
      </c>
      <c r="X19" s="89">
        <v>0.0</v>
      </c>
      <c r="Y19" s="89">
        <v>0.0</v>
      </c>
      <c r="Z19" s="89">
        <v>0.0</v>
      </c>
      <c r="AA19" s="89">
        <v>0.0</v>
      </c>
      <c r="AB19" s="89">
        <v>0.0</v>
      </c>
      <c r="AC19" s="89">
        <v>0.0</v>
      </c>
      <c r="AD19" s="89">
        <v>0.0</v>
      </c>
      <c r="AE19" s="89">
        <v>0.0</v>
      </c>
      <c r="AF19" s="89">
        <v>0.0</v>
      </c>
      <c r="AG19" s="89">
        <v>0.0</v>
      </c>
      <c r="AH19" s="89">
        <v>0.0</v>
      </c>
      <c r="AI19" s="89">
        <v>0.0</v>
      </c>
      <c r="AJ19" s="89">
        <v>0.0</v>
      </c>
      <c r="AK19" s="90">
        <v>0.0</v>
      </c>
      <c r="AL19" s="91"/>
      <c r="AM19" s="85">
        <f t="shared" si="6"/>
        <v>0</v>
      </c>
      <c r="AN19" s="86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58107.62</v>
      </c>
      <c r="O20" s="87">
        <f>504946-25247.3</f>
        <v>479698.7</v>
      </c>
      <c r="P20" s="88">
        <f>820034-41001.7</f>
        <v>779032.3</v>
      </c>
      <c r="Q20" s="89">
        <v>236538.97</v>
      </c>
      <c r="R20" s="88">
        <v>0.0</v>
      </c>
      <c r="S20" s="89">
        <v>0.0</v>
      </c>
      <c r="T20" s="88">
        <f>331046-16552.31</f>
        <v>314493.69</v>
      </c>
      <c r="U20" s="89">
        <v>0.0</v>
      </c>
      <c r="V20" s="89">
        <v>0.0</v>
      </c>
      <c r="W20" s="89">
        <v>0.0</v>
      </c>
      <c r="X20" s="89">
        <v>0.0</v>
      </c>
      <c r="Y20" s="89">
        <v>0.0</v>
      </c>
      <c r="Z20" s="89">
        <v>0.0</v>
      </c>
      <c r="AA20" s="89">
        <v>0.0</v>
      </c>
      <c r="AB20" s="89">
        <v>0.0</v>
      </c>
      <c r="AC20" s="89">
        <v>0.0</v>
      </c>
      <c r="AD20" s="89">
        <v>0.0</v>
      </c>
      <c r="AE20" s="89">
        <v>0.0</v>
      </c>
      <c r="AF20" s="89">
        <v>0.0</v>
      </c>
      <c r="AG20" s="89">
        <v>0.0</v>
      </c>
      <c r="AH20" s="89">
        <v>0.0</v>
      </c>
      <c r="AI20" s="89">
        <v>0.0</v>
      </c>
      <c r="AJ20" s="89">
        <v>0.0</v>
      </c>
      <c r="AK20" s="90">
        <v>0.0</v>
      </c>
      <c r="AL20" s="91">
        <v>95250.72</v>
      </c>
      <c r="AM20" s="85">
        <f t="shared" si="6"/>
        <v>1905014.38</v>
      </c>
      <c r="AN20" s="86">
        <f t="shared" si="7"/>
        <v>0.9218803824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115838.8</v>
      </c>
      <c r="O21" s="81">
        <v>0.0</v>
      </c>
      <c r="P21" s="88">
        <v>0.0</v>
      </c>
      <c r="Q21" s="89">
        <v>0.0</v>
      </c>
      <c r="R21" s="88">
        <v>80750.0</v>
      </c>
      <c r="S21" s="89">
        <v>0.0</v>
      </c>
      <c r="T21" s="89">
        <v>0.0</v>
      </c>
      <c r="U21" s="88">
        <f>34415.6+4250-5970.78</f>
        <v>32694.82</v>
      </c>
      <c r="V21" s="89">
        <v>0.0</v>
      </c>
      <c r="W21" s="89">
        <v>0.0</v>
      </c>
      <c r="X21" s="89">
        <v>0.0</v>
      </c>
      <c r="Y21" s="89">
        <v>0.0</v>
      </c>
      <c r="Z21" s="89">
        <v>0.0</v>
      </c>
      <c r="AA21" s="89">
        <v>0.0</v>
      </c>
      <c r="AB21" s="89">
        <v>0.0</v>
      </c>
      <c r="AC21" s="89">
        <v>0.0</v>
      </c>
      <c r="AD21" s="89">
        <v>0.0</v>
      </c>
      <c r="AE21" s="89">
        <v>0.0</v>
      </c>
      <c r="AF21" s="89">
        <v>0.0</v>
      </c>
      <c r="AG21" s="89">
        <v>0.0</v>
      </c>
      <c r="AH21" s="89">
        <v>0.0</v>
      </c>
      <c r="AI21" s="89">
        <v>0.0</v>
      </c>
      <c r="AJ21" s="89">
        <v>0.0</v>
      </c>
      <c r="AK21" s="90">
        <v>0.0</v>
      </c>
      <c r="AL21" s="91">
        <v>5970.78</v>
      </c>
      <c r="AM21" s="85">
        <f t="shared" si="6"/>
        <v>119415.6</v>
      </c>
      <c r="AN21" s="86">
        <f t="shared" si="7"/>
        <v>0.4822218841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8">
        <v>0.0</v>
      </c>
      <c r="Q22" s="89">
        <v>0.0</v>
      </c>
      <c r="R22" s="88">
        <v>0.0</v>
      </c>
      <c r="S22" s="89">
        <v>0.0</v>
      </c>
      <c r="T22" s="89">
        <v>0.0</v>
      </c>
      <c r="U22" s="89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0.0</v>
      </c>
      <c r="AE22" s="89">
        <v>0.0</v>
      </c>
      <c r="AF22" s="89">
        <v>0.0</v>
      </c>
      <c r="AG22" s="89">
        <v>0.0</v>
      </c>
      <c r="AH22" s="89">
        <v>0.0</v>
      </c>
      <c r="AI22" s="89">
        <v>0.0</v>
      </c>
      <c r="AJ22" s="89">
        <v>0.0</v>
      </c>
      <c r="AK22" s="90">
        <v>0.0</v>
      </c>
      <c r="AL22" s="85"/>
      <c r="AM22" s="85">
        <f t="shared" si="6"/>
        <v>0</v>
      </c>
      <c r="AN22" s="86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35813.74</v>
      </c>
      <c r="O23" s="81">
        <v>0.0</v>
      </c>
      <c r="P23" s="88">
        <v>0.0</v>
      </c>
      <c r="Q23" s="89">
        <v>0.0</v>
      </c>
      <c r="R23" s="88">
        <v>0.0</v>
      </c>
      <c r="S23" s="89">
        <v>0.0</v>
      </c>
      <c r="T23" s="89">
        <v>0.0</v>
      </c>
      <c r="U23" s="89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0.0</v>
      </c>
      <c r="AA23" s="89">
        <v>0.0</v>
      </c>
      <c r="AB23" s="89">
        <v>0.0</v>
      </c>
      <c r="AC23" s="89">
        <v>0.0</v>
      </c>
      <c r="AD23" s="89">
        <v>0.0</v>
      </c>
      <c r="AE23" s="89">
        <v>0.0</v>
      </c>
      <c r="AF23" s="89">
        <v>0.0</v>
      </c>
      <c r="AG23" s="89">
        <v>0.0</v>
      </c>
      <c r="AH23" s="89">
        <v>0.0</v>
      </c>
      <c r="AI23" s="89">
        <v>0.0</v>
      </c>
      <c r="AJ23" s="89">
        <v>0.0</v>
      </c>
      <c r="AK23" s="90">
        <v>0.0</v>
      </c>
      <c r="AL23" s="85"/>
      <c r="AM23" s="85">
        <f t="shared" si="6"/>
        <v>0</v>
      </c>
      <c r="AN23" s="86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194500</v>
      </c>
      <c r="O24" s="81">
        <v>0.0</v>
      </c>
      <c r="P24" s="88">
        <v>0.0</v>
      </c>
      <c r="Q24" s="89">
        <v>0.0</v>
      </c>
      <c r="R24" s="88">
        <v>0.0</v>
      </c>
      <c r="S24" s="89">
        <v>0.0</v>
      </c>
      <c r="T24" s="89">
        <v>0.0</v>
      </c>
      <c r="U24" s="88">
        <f>1550+0-77.5</f>
        <v>1472.5</v>
      </c>
      <c r="V24" s="89">
        <v>0.0</v>
      </c>
      <c r="W24" s="89">
        <v>0.0</v>
      </c>
      <c r="X24" s="89">
        <v>0.0</v>
      </c>
      <c r="Y24" s="89">
        <v>0.0</v>
      </c>
      <c r="Z24" s="89">
        <v>0.0</v>
      </c>
      <c r="AA24" s="89">
        <v>0.0</v>
      </c>
      <c r="AB24" s="89">
        <v>0.0</v>
      </c>
      <c r="AC24" s="89">
        <v>0.0</v>
      </c>
      <c r="AD24" s="89">
        <v>0.0</v>
      </c>
      <c r="AE24" s="89">
        <v>0.0</v>
      </c>
      <c r="AF24" s="89">
        <v>0.0</v>
      </c>
      <c r="AG24" s="89">
        <v>0.0</v>
      </c>
      <c r="AH24" s="89">
        <v>0.0</v>
      </c>
      <c r="AI24" s="89">
        <v>0.0</v>
      </c>
      <c r="AJ24" s="89">
        <v>0.0</v>
      </c>
      <c r="AK24" s="90">
        <v>0.0</v>
      </c>
      <c r="AL24" s="91">
        <v>77.5</v>
      </c>
      <c r="AM24" s="85">
        <f t="shared" si="6"/>
        <v>1550</v>
      </c>
      <c r="AN24" s="86">
        <f t="shared" si="7"/>
        <v>0.007510839072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51617.37</v>
      </c>
      <c r="O25" s="81">
        <v>0.0</v>
      </c>
      <c r="P25" s="88">
        <v>0.0</v>
      </c>
      <c r="Q25" s="89">
        <v>0.0</v>
      </c>
      <c r="R25" s="88">
        <v>0.0</v>
      </c>
      <c r="S25" s="89">
        <v>0.0</v>
      </c>
      <c r="T25" s="89">
        <v>0.0</v>
      </c>
      <c r="U25" s="88">
        <f>118382.63+0-5919.14</f>
        <v>112463.49</v>
      </c>
      <c r="V25" s="89">
        <v>0.0</v>
      </c>
      <c r="W25" s="89">
        <v>0.0</v>
      </c>
      <c r="X25" s="89">
        <v>0.0</v>
      </c>
      <c r="Y25" s="89">
        <v>0.0</v>
      </c>
      <c r="Z25" s="89">
        <v>0.0</v>
      </c>
      <c r="AA25" s="89">
        <v>0.0</v>
      </c>
      <c r="AB25" s="89">
        <v>0.0</v>
      </c>
      <c r="AC25" s="89">
        <v>0.0</v>
      </c>
      <c r="AD25" s="89">
        <v>0.0</v>
      </c>
      <c r="AE25" s="89">
        <v>0.0</v>
      </c>
      <c r="AF25" s="89">
        <v>0.0</v>
      </c>
      <c r="AG25" s="89">
        <v>0.0</v>
      </c>
      <c r="AH25" s="89">
        <v>0.0</v>
      </c>
      <c r="AI25" s="89">
        <v>0.0</v>
      </c>
      <c r="AJ25" s="89">
        <v>0.0</v>
      </c>
      <c r="AK25" s="90">
        <v>0.0</v>
      </c>
      <c r="AL25" s="91">
        <v>5919.14</v>
      </c>
      <c r="AM25" s="85">
        <f t="shared" si="6"/>
        <v>118382.63</v>
      </c>
      <c r="AN25" s="86">
        <f t="shared" si="7"/>
        <v>0.6615499412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51410.01</v>
      </c>
      <c r="O26" s="81">
        <v>0.0</v>
      </c>
      <c r="P26" s="88">
        <v>0.0</v>
      </c>
      <c r="Q26" s="89">
        <v>0.0</v>
      </c>
      <c r="R26" s="88">
        <v>0.0</v>
      </c>
      <c r="S26" s="89">
        <v>0.0</v>
      </c>
      <c r="T26" s="89">
        <v>0.0</v>
      </c>
      <c r="U26" s="88">
        <v>44077.99</v>
      </c>
      <c r="V26" s="89">
        <v>0.0</v>
      </c>
      <c r="W26" s="89">
        <v>0.0</v>
      </c>
      <c r="X26" s="89">
        <v>0.0</v>
      </c>
      <c r="Y26" s="89">
        <v>0.0</v>
      </c>
      <c r="Z26" s="89">
        <v>0.0</v>
      </c>
      <c r="AA26" s="89">
        <v>0.0</v>
      </c>
      <c r="AB26" s="89">
        <v>0.0</v>
      </c>
      <c r="AC26" s="89">
        <v>0.0</v>
      </c>
      <c r="AD26" s="89">
        <v>0.0</v>
      </c>
      <c r="AE26" s="89">
        <v>0.0</v>
      </c>
      <c r="AF26" s="89">
        <v>0.0</v>
      </c>
      <c r="AG26" s="89">
        <v>0.0</v>
      </c>
      <c r="AH26" s="89">
        <v>0.0</v>
      </c>
      <c r="AI26" s="89">
        <v>0.0</v>
      </c>
      <c r="AJ26" s="89">
        <v>0.0</v>
      </c>
      <c r="AK26" s="90">
        <v>0.0</v>
      </c>
      <c r="AL26" s="85"/>
      <c r="AM26" s="85">
        <f t="shared" si="6"/>
        <v>44077.99</v>
      </c>
      <c r="AN26" s="86">
        <f t="shared" si="7"/>
        <v>0.4616076366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255500</v>
      </c>
      <c r="O27" s="81">
        <v>0.0</v>
      </c>
      <c r="P27" s="88">
        <v>0.0</v>
      </c>
      <c r="Q27" s="89">
        <v>0.0</v>
      </c>
      <c r="R27" s="88">
        <v>0.0</v>
      </c>
      <c r="S27" s="89">
        <v>0.0</v>
      </c>
      <c r="T27" s="89">
        <v>0.0</v>
      </c>
      <c r="U27" s="89">
        <v>0.0</v>
      </c>
      <c r="V27" s="89">
        <v>0.0</v>
      </c>
      <c r="W27" s="89">
        <v>0.0</v>
      </c>
      <c r="X27" s="89">
        <v>0.0</v>
      </c>
      <c r="Y27" s="89">
        <v>0.0</v>
      </c>
      <c r="Z27" s="89">
        <v>0.0</v>
      </c>
      <c r="AA27" s="89">
        <v>0.0</v>
      </c>
      <c r="AB27" s="89">
        <v>0.0</v>
      </c>
      <c r="AC27" s="89">
        <v>0.0</v>
      </c>
      <c r="AD27" s="89">
        <v>0.0</v>
      </c>
      <c r="AE27" s="89">
        <v>0.0</v>
      </c>
      <c r="AF27" s="89">
        <v>0.0</v>
      </c>
      <c r="AG27" s="89">
        <v>0.0</v>
      </c>
      <c r="AH27" s="89">
        <v>0.0</v>
      </c>
      <c r="AI27" s="89">
        <v>0.0</v>
      </c>
      <c r="AJ27" s="89">
        <v>0.0</v>
      </c>
      <c r="AK27" s="90">
        <v>0.0</v>
      </c>
      <c r="AL27" s="85"/>
      <c r="AM27" s="85">
        <f t="shared" si="6"/>
        <v>0</v>
      </c>
      <c r="AN27" s="86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18575</v>
      </c>
      <c r="O28" s="81">
        <v>0.0</v>
      </c>
      <c r="P28" s="88">
        <v>0.0</v>
      </c>
      <c r="Q28" s="89">
        <v>0.0</v>
      </c>
      <c r="R28" s="88">
        <v>0.0</v>
      </c>
      <c r="S28" s="89">
        <v>0.0</v>
      </c>
      <c r="T28" s="89">
        <v>0.0</v>
      </c>
      <c r="U28" s="89">
        <v>0.0</v>
      </c>
      <c r="V28" s="89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0.0</v>
      </c>
      <c r="AB28" s="89">
        <v>0.0</v>
      </c>
      <c r="AC28" s="89">
        <v>0.0</v>
      </c>
      <c r="AD28" s="89">
        <v>0.0</v>
      </c>
      <c r="AE28" s="89">
        <v>0.0</v>
      </c>
      <c r="AF28" s="89">
        <v>0.0</v>
      </c>
      <c r="AG28" s="89">
        <v>0.0</v>
      </c>
      <c r="AH28" s="89">
        <v>0.0</v>
      </c>
      <c r="AI28" s="89">
        <v>0.0</v>
      </c>
      <c r="AJ28" s="89">
        <v>0.0</v>
      </c>
      <c r="AK28" s="90">
        <v>0.0</v>
      </c>
      <c r="AL28" s="85"/>
      <c r="AM28" s="85">
        <f t="shared" si="6"/>
        <v>0</v>
      </c>
      <c r="AN28" s="86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276794.72</v>
      </c>
      <c r="O29" s="81">
        <v>0.0</v>
      </c>
      <c r="P29" s="88">
        <f>62500-3125</f>
        <v>59375</v>
      </c>
      <c r="Q29" s="89">
        <v>106875.0</v>
      </c>
      <c r="R29" s="88">
        <v>106875.0</v>
      </c>
      <c r="S29" s="89">
        <v>0.0</v>
      </c>
      <c r="T29" s="88">
        <f>90000-4500</f>
        <v>85500</v>
      </c>
      <c r="U29" s="88">
        <v>120705.28</v>
      </c>
      <c r="V29" s="89">
        <v>0.0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0.0</v>
      </c>
      <c r="AE29" s="89">
        <v>0.0</v>
      </c>
      <c r="AF29" s="89">
        <v>0.0</v>
      </c>
      <c r="AG29" s="89">
        <v>0.0</v>
      </c>
      <c r="AH29" s="89">
        <v>0.0</v>
      </c>
      <c r="AI29" s="89">
        <v>0.0</v>
      </c>
      <c r="AJ29" s="89">
        <v>0.0</v>
      </c>
      <c r="AK29" s="90">
        <v>0.0</v>
      </c>
      <c r="AL29" s="91">
        <v>30125.0</v>
      </c>
      <c r="AM29" s="85">
        <f t="shared" si="6"/>
        <v>509455.28</v>
      </c>
      <c r="AN29" s="86">
        <f t="shared" si="7"/>
        <v>0.6096410556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1125000</v>
      </c>
      <c r="O30" s="81">
        <v>0.0</v>
      </c>
      <c r="P30" s="88">
        <v>0.0</v>
      </c>
      <c r="Q30" s="89">
        <v>114000.0</v>
      </c>
      <c r="R30" s="88">
        <v>0.0</v>
      </c>
      <c r="S30" s="89">
        <v>0.0</v>
      </c>
      <c r="T30" s="89">
        <v>0.0</v>
      </c>
      <c r="U30" s="89">
        <v>0.0</v>
      </c>
      <c r="V30" s="89">
        <v>0.0</v>
      </c>
      <c r="W30" s="89">
        <v>0.0</v>
      </c>
      <c r="X30" s="89">
        <v>0.0</v>
      </c>
      <c r="Y30" s="89">
        <v>0.0</v>
      </c>
      <c r="Z30" s="89">
        <v>0.0</v>
      </c>
      <c r="AA30" s="89">
        <v>0.0</v>
      </c>
      <c r="AB30" s="89">
        <v>0.0</v>
      </c>
      <c r="AC30" s="89">
        <v>0.0</v>
      </c>
      <c r="AD30" s="89">
        <v>0.0</v>
      </c>
      <c r="AE30" s="89">
        <v>0.0</v>
      </c>
      <c r="AF30" s="89">
        <v>0.0</v>
      </c>
      <c r="AG30" s="89">
        <v>0.0</v>
      </c>
      <c r="AH30" s="89">
        <v>0.0</v>
      </c>
      <c r="AI30" s="89">
        <v>0.0</v>
      </c>
      <c r="AJ30" s="89">
        <v>0.0</v>
      </c>
      <c r="AK30" s="90">
        <v>0.0</v>
      </c>
      <c r="AL30" s="91">
        <v>6000.0</v>
      </c>
      <c r="AM30" s="85">
        <f t="shared" si="6"/>
        <v>120000</v>
      </c>
      <c r="AN30" s="86">
        <f t="shared" si="7"/>
        <v>0.09156626506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786352</v>
      </c>
      <c r="O31" s="81">
        <v>0.0</v>
      </c>
      <c r="P31" s="88">
        <v>0.0</v>
      </c>
      <c r="Q31" s="89">
        <v>0.0</v>
      </c>
      <c r="R31" s="88">
        <v>0.0</v>
      </c>
      <c r="S31" s="89">
        <v>0.0</v>
      </c>
      <c r="T31" s="89">
        <v>0.0</v>
      </c>
      <c r="U31" s="89">
        <v>0.0</v>
      </c>
      <c r="V31" s="89">
        <v>0.0</v>
      </c>
      <c r="W31" s="89">
        <v>0.0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9">
        <v>0.0</v>
      </c>
      <c r="AH31" s="89">
        <v>0.0</v>
      </c>
      <c r="AI31" s="89">
        <v>0.0</v>
      </c>
      <c r="AJ31" s="89">
        <v>0.0</v>
      </c>
      <c r="AK31" s="90">
        <v>0.0</v>
      </c>
      <c r="AL31" s="85"/>
      <c r="AM31" s="85">
        <f t="shared" si="6"/>
        <v>0</v>
      </c>
      <c r="AN31" s="86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78">
        <v>0.0</v>
      </c>
      <c r="K32" s="78">
        <f t="shared" si="2"/>
        <v>156271</v>
      </c>
      <c r="L32" s="79">
        <f t="shared" si="3"/>
        <v>0.01124251799</v>
      </c>
      <c r="M32" s="78">
        <f t="shared" si="4"/>
        <v>1.90048281</v>
      </c>
      <c r="N32" s="80">
        <f t="shared" si="5"/>
        <v>50028.01</v>
      </c>
      <c r="O32" s="81">
        <v>0.0</v>
      </c>
      <c r="P32" s="88">
        <v>0.0</v>
      </c>
      <c r="Q32" s="89">
        <v>0.0</v>
      </c>
      <c r="R32" s="88">
        <v>41478.340000000004</v>
      </c>
      <c r="S32" s="89">
        <v>0.0</v>
      </c>
      <c r="T32" s="89">
        <v>0.0</v>
      </c>
      <c r="U32" s="88">
        <v>59452.5</v>
      </c>
      <c r="V32" s="89">
        <v>0.0</v>
      </c>
      <c r="W32" s="89">
        <v>0.0</v>
      </c>
      <c r="X32" s="89">
        <v>0.0</v>
      </c>
      <c r="Y32" s="89">
        <v>0.0</v>
      </c>
      <c r="Z32" s="89">
        <v>0.0</v>
      </c>
      <c r="AA32" s="89">
        <v>0.0</v>
      </c>
      <c r="AB32" s="89">
        <v>0.0</v>
      </c>
      <c r="AC32" s="89">
        <v>0.0</v>
      </c>
      <c r="AD32" s="89">
        <v>0.0</v>
      </c>
      <c r="AE32" s="89">
        <v>0.0</v>
      </c>
      <c r="AF32" s="89">
        <v>0.0</v>
      </c>
      <c r="AG32" s="89">
        <v>0.0</v>
      </c>
      <c r="AH32" s="89">
        <v>0.0</v>
      </c>
      <c r="AI32" s="89">
        <v>0.0</v>
      </c>
      <c r="AJ32" s="89">
        <v>0.0</v>
      </c>
      <c r="AK32" s="90">
        <v>0.0</v>
      </c>
      <c r="AL32" s="91">
        <v>5312.15</v>
      </c>
      <c r="AM32" s="85">
        <f t="shared" si="6"/>
        <v>106242.99</v>
      </c>
      <c r="AN32" s="86">
        <f t="shared" si="7"/>
        <v>0.645870571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10000</v>
      </c>
      <c r="O33" s="81">
        <v>0.0</v>
      </c>
      <c r="P33" s="88">
        <v>0.0</v>
      </c>
      <c r="Q33" s="89">
        <v>0.0</v>
      </c>
      <c r="R33" s="88">
        <v>0.0</v>
      </c>
      <c r="S33" s="89">
        <v>0.0</v>
      </c>
      <c r="T33" s="89">
        <v>0.0</v>
      </c>
      <c r="U33" s="89">
        <v>0.0</v>
      </c>
      <c r="V33" s="89">
        <v>0.0</v>
      </c>
      <c r="W33" s="89">
        <v>0.0</v>
      </c>
      <c r="X33" s="89">
        <v>0.0</v>
      </c>
      <c r="Y33" s="89">
        <v>0.0</v>
      </c>
      <c r="Z33" s="89">
        <v>0.0</v>
      </c>
      <c r="AA33" s="89">
        <v>0.0</v>
      </c>
      <c r="AB33" s="89">
        <v>0.0</v>
      </c>
      <c r="AC33" s="89">
        <v>0.0</v>
      </c>
      <c r="AD33" s="89">
        <v>0.0</v>
      </c>
      <c r="AE33" s="89">
        <v>0.0</v>
      </c>
      <c r="AF33" s="89">
        <v>0.0</v>
      </c>
      <c r="AG33" s="89">
        <v>0.0</v>
      </c>
      <c r="AH33" s="89">
        <v>0.0</v>
      </c>
      <c r="AI33" s="89">
        <v>0.0</v>
      </c>
      <c r="AJ33" s="89">
        <v>0.0</v>
      </c>
      <c r="AK33" s="90">
        <v>0.0</v>
      </c>
      <c r="AL33" s="85"/>
      <c r="AM33" s="85">
        <f t="shared" si="6"/>
        <v>0</v>
      </c>
      <c r="AN33" s="86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27214.96</v>
      </c>
      <c r="O34" s="81">
        <v>0.0</v>
      </c>
      <c r="P34" s="88">
        <v>0.0</v>
      </c>
      <c r="Q34" s="89">
        <v>0.0</v>
      </c>
      <c r="R34" s="88">
        <v>0.0</v>
      </c>
      <c r="S34" s="89">
        <v>0.0</v>
      </c>
      <c r="T34" s="89">
        <v>0.0</v>
      </c>
      <c r="U34" s="88">
        <f>50542.07+0-2527.1</f>
        <v>48014.97</v>
      </c>
      <c r="V34" s="89">
        <v>0.0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9">
        <v>0.0</v>
      </c>
      <c r="AG34" s="89">
        <v>0.0</v>
      </c>
      <c r="AH34" s="89">
        <v>0.0</v>
      </c>
      <c r="AI34" s="89">
        <v>0.0</v>
      </c>
      <c r="AJ34" s="89">
        <v>0.0</v>
      </c>
      <c r="AK34" s="90">
        <v>0.0</v>
      </c>
      <c r="AL34" s="91">
        <v>2527.1</v>
      </c>
      <c r="AM34" s="85">
        <f t="shared" si="6"/>
        <v>50542.07</v>
      </c>
      <c r="AN34" s="86">
        <f t="shared" si="7"/>
        <v>0.6175000511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229814.5</v>
      </c>
      <c r="O35" s="81">
        <v>0.0</v>
      </c>
      <c r="P35" s="88">
        <v>0.0</v>
      </c>
      <c r="Q35" s="89">
        <v>0.0</v>
      </c>
      <c r="R35" s="88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90">
        <v>0.0</v>
      </c>
      <c r="AL35" s="91">
        <v>136.88</v>
      </c>
      <c r="AM35" s="85">
        <f t="shared" si="6"/>
        <v>136.88</v>
      </c>
      <c r="AN35" s="86">
        <f t="shared" si="7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850750</v>
      </c>
      <c r="O36" s="81">
        <v>0.0</v>
      </c>
      <c r="P36" s="88">
        <v>0.0</v>
      </c>
      <c r="Q36" s="89">
        <v>0.0</v>
      </c>
      <c r="R36" s="88">
        <v>0.0</v>
      </c>
      <c r="S36" s="89">
        <v>0.0</v>
      </c>
      <c r="T36" s="89">
        <v>0.0</v>
      </c>
      <c r="U36" s="89">
        <v>0.0</v>
      </c>
      <c r="V36" s="89">
        <v>0.0</v>
      </c>
      <c r="W36" s="89">
        <v>0.0</v>
      </c>
      <c r="X36" s="89">
        <v>0.0</v>
      </c>
      <c r="Y36" s="89">
        <v>0.0</v>
      </c>
      <c r="Z36" s="89">
        <v>0.0</v>
      </c>
      <c r="AA36" s="89">
        <v>0.0</v>
      </c>
      <c r="AB36" s="89">
        <v>0.0</v>
      </c>
      <c r="AC36" s="89">
        <v>0.0</v>
      </c>
      <c r="AD36" s="89">
        <v>0.0</v>
      </c>
      <c r="AE36" s="89">
        <v>0.0</v>
      </c>
      <c r="AF36" s="89">
        <v>0.0</v>
      </c>
      <c r="AG36" s="89">
        <v>0.0</v>
      </c>
      <c r="AH36" s="89">
        <v>0.0</v>
      </c>
      <c r="AI36" s="89">
        <v>0.0</v>
      </c>
      <c r="AJ36" s="89">
        <v>0.0</v>
      </c>
      <c r="AK36" s="90">
        <v>0.0</v>
      </c>
      <c r="AL36" s="85"/>
      <c r="AM36" s="85">
        <f t="shared" si="6"/>
        <v>0</v>
      </c>
      <c r="AN36" s="86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8">
        <v>0.0</v>
      </c>
      <c r="Q37" s="89">
        <v>0.0</v>
      </c>
      <c r="R37" s="88">
        <v>0.0</v>
      </c>
      <c r="S37" s="89">
        <v>0.0</v>
      </c>
      <c r="T37" s="89">
        <v>0.0</v>
      </c>
      <c r="U37" s="89">
        <v>0.0</v>
      </c>
      <c r="V37" s="89">
        <v>0.0</v>
      </c>
      <c r="W37" s="89">
        <v>0.0</v>
      </c>
      <c r="X37" s="89">
        <v>0.0</v>
      </c>
      <c r="Y37" s="89">
        <v>0.0</v>
      </c>
      <c r="Z37" s="89">
        <v>0.0</v>
      </c>
      <c r="AA37" s="89">
        <v>0.0</v>
      </c>
      <c r="AB37" s="89">
        <v>0.0</v>
      </c>
      <c r="AC37" s="89">
        <v>0.0</v>
      </c>
      <c r="AD37" s="89">
        <v>0.0</v>
      </c>
      <c r="AE37" s="89">
        <v>0.0</v>
      </c>
      <c r="AF37" s="89">
        <v>0.0</v>
      </c>
      <c r="AG37" s="89">
        <v>0.0</v>
      </c>
      <c r="AH37" s="89">
        <v>0.0</v>
      </c>
      <c r="AI37" s="89">
        <v>0.0</v>
      </c>
      <c r="AJ37" s="89">
        <v>0.0</v>
      </c>
      <c r="AK37" s="90">
        <v>0.0</v>
      </c>
      <c r="AL37" s="85"/>
      <c r="AM37" s="85">
        <f t="shared" si="6"/>
        <v>0</v>
      </c>
      <c r="AN37" s="86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8">
        <v>0.0</v>
      </c>
      <c r="Q38" s="89">
        <v>0.0</v>
      </c>
      <c r="R38" s="88">
        <v>0.0</v>
      </c>
      <c r="S38" s="89">
        <v>0.0</v>
      </c>
      <c r="T38" s="89">
        <v>0.0</v>
      </c>
      <c r="U38" s="89">
        <v>0.0</v>
      </c>
      <c r="V38" s="89">
        <v>0.0</v>
      </c>
      <c r="W38" s="89">
        <v>0.0</v>
      </c>
      <c r="X38" s="89">
        <v>0.0</v>
      </c>
      <c r="Y38" s="89">
        <v>0.0</v>
      </c>
      <c r="Z38" s="89">
        <v>0.0</v>
      </c>
      <c r="AA38" s="89">
        <v>0.0</v>
      </c>
      <c r="AB38" s="89">
        <v>0.0</v>
      </c>
      <c r="AC38" s="89">
        <v>0.0</v>
      </c>
      <c r="AD38" s="89">
        <v>0.0</v>
      </c>
      <c r="AE38" s="89">
        <v>0.0</v>
      </c>
      <c r="AF38" s="89">
        <v>0.0</v>
      </c>
      <c r="AG38" s="89">
        <v>0.0</v>
      </c>
      <c r="AH38" s="89">
        <v>0.0</v>
      </c>
      <c r="AI38" s="89">
        <v>0.0</v>
      </c>
      <c r="AJ38" s="89">
        <v>0.0</v>
      </c>
      <c r="AK38" s="90">
        <v>0.0</v>
      </c>
      <c r="AL38" s="85"/>
      <c r="AM38" s="85">
        <f t="shared" si="6"/>
        <v>0</v>
      </c>
      <c r="AN38" s="86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8">
        <v>0.0</v>
      </c>
      <c r="Q39" s="89">
        <v>0.0</v>
      </c>
      <c r="R39" s="88">
        <v>0.0</v>
      </c>
      <c r="S39" s="89">
        <v>0.0</v>
      </c>
      <c r="T39" s="89">
        <v>0.0</v>
      </c>
      <c r="U39" s="89">
        <v>0.0</v>
      </c>
      <c r="V39" s="89">
        <v>0.0</v>
      </c>
      <c r="W39" s="89">
        <v>0.0</v>
      </c>
      <c r="X39" s="89">
        <v>0.0</v>
      </c>
      <c r="Y39" s="89">
        <v>0.0</v>
      </c>
      <c r="Z39" s="89">
        <v>0.0</v>
      </c>
      <c r="AA39" s="89">
        <v>0.0</v>
      </c>
      <c r="AB39" s="89">
        <v>0.0</v>
      </c>
      <c r="AC39" s="89">
        <v>0.0</v>
      </c>
      <c r="AD39" s="89">
        <v>0.0</v>
      </c>
      <c r="AE39" s="89">
        <v>0.0</v>
      </c>
      <c r="AF39" s="89">
        <v>0.0</v>
      </c>
      <c r="AG39" s="89">
        <v>0.0</v>
      </c>
      <c r="AH39" s="89">
        <v>0.0</v>
      </c>
      <c r="AI39" s="89">
        <v>0.0</v>
      </c>
      <c r="AJ39" s="89">
        <v>0.0</v>
      </c>
      <c r="AK39" s="90">
        <v>0.0</v>
      </c>
      <c r="AL39" s="85"/>
      <c r="AM39" s="85">
        <f t="shared" si="6"/>
        <v>0</v>
      </c>
      <c r="AN39" s="86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8">
        <v>0.0</v>
      </c>
      <c r="Q40" s="89">
        <v>0.0</v>
      </c>
      <c r="R40" s="88">
        <v>0.0</v>
      </c>
      <c r="S40" s="89">
        <v>0.0</v>
      </c>
      <c r="T40" s="89">
        <v>0.0</v>
      </c>
      <c r="U40" s="89">
        <v>0.0</v>
      </c>
      <c r="V40" s="89">
        <v>0.0</v>
      </c>
      <c r="W40" s="89">
        <v>0.0</v>
      </c>
      <c r="X40" s="89">
        <v>0.0</v>
      </c>
      <c r="Y40" s="89">
        <v>0.0</v>
      </c>
      <c r="Z40" s="89">
        <v>0.0</v>
      </c>
      <c r="AA40" s="89">
        <v>0.0</v>
      </c>
      <c r="AB40" s="89">
        <v>0.0</v>
      </c>
      <c r="AC40" s="89">
        <v>0.0</v>
      </c>
      <c r="AD40" s="89">
        <v>0.0</v>
      </c>
      <c r="AE40" s="89">
        <v>0.0</v>
      </c>
      <c r="AF40" s="89">
        <v>0.0</v>
      </c>
      <c r="AG40" s="89">
        <v>0.0</v>
      </c>
      <c r="AH40" s="89">
        <v>0.0</v>
      </c>
      <c r="AI40" s="89">
        <v>0.0</v>
      </c>
      <c r="AJ40" s="89">
        <v>0.0</v>
      </c>
      <c r="AK40" s="90">
        <v>0.0</v>
      </c>
      <c r="AL40" s="85"/>
      <c r="AM40" s="85">
        <f t="shared" si="6"/>
        <v>0</v>
      </c>
      <c r="AN40" s="86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200000</v>
      </c>
      <c r="O41" s="81">
        <v>0.0</v>
      </c>
      <c r="P41" s="88">
        <v>0.0</v>
      </c>
      <c r="Q41" s="89">
        <v>0.0</v>
      </c>
      <c r="R41" s="88">
        <v>0.0</v>
      </c>
      <c r="S41" s="89">
        <v>0.0</v>
      </c>
      <c r="T41" s="89">
        <v>0.0</v>
      </c>
      <c r="U41" s="89">
        <v>0.0</v>
      </c>
      <c r="V41" s="89">
        <v>0.0</v>
      </c>
      <c r="W41" s="89">
        <v>0.0</v>
      </c>
      <c r="X41" s="89">
        <v>0.0</v>
      </c>
      <c r="Y41" s="89">
        <v>0.0</v>
      </c>
      <c r="Z41" s="89">
        <v>0.0</v>
      </c>
      <c r="AA41" s="89">
        <v>0.0</v>
      </c>
      <c r="AB41" s="89">
        <v>0.0</v>
      </c>
      <c r="AC41" s="89">
        <v>0.0</v>
      </c>
      <c r="AD41" s="89">
        <v>0.0</v>
      </c>
      <c r="AE41" s="89">
        <v>0.0</v>
      </c>
      <c r="AF41" s="89">
        <v>0.0</v>
      </c>
      <c r="AG41" s="89">
        <v>0.0</v>
      </c>
      <c r="AH41" s="89">
        <v>0.0</v>
      </c>
      <c r="AI41" s="89">
        <v>0.0</v>
      </c>
      <c r="AJ41" s="89">
        <v>0.0</v>
      </c>
      <c r="AK41" s="90">
        <v>0.0</v>
      </c>
      <c r="AL41" s="85"/>
      <c r="AM41" s="85">
        <f t="shared" si="6"/>
        <v>0</v>
      </c>
      <c r="AN41" s="86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8">
        <v>0.0</v>
      </c>
      <c r="Q42" s="89">
        <v>0.0</v>
      </c>
      <c r="R42" s="88">
        <v>0.0</v>
      </c>
      <c r="S42" s="89">
        <v>0.0</v>
      </c>
      <c r="T42" s="89">
        <v>0.0</v>
      </c>
      <c r="U42" s="89">
        <v>0.0</v>
      </c>
      <c r="V42" s="89">
        <v>0.0</v>
      </c>
      <c r="W42" s="89">
        <v>0.0</v>
      </c>
      <c r="X42" s="89">
        <v>0.0</v>
      </c>
      <c r="Y42" s="89">
        <v>0.0</v>
      </c>
      <c r="Z42" s="89">
        <v>0.0</v>
      </c>
      <c r="AA42" s="89">
        <v>0.0</v>
      </c>
      <c r="AB42" s="89">
        <v>0.0</v>
      </c>
      <c r="AC42" s="89">
        <v>0.0</v>
      </c>
      <c r="AD42" s="89">
        <v>0.0</v>
      </c>
      <c r="AE42" s="89">
        <v>0.0</v>
      </c>
      <c r="AF42" s="89">
        <v>0.0</v>
      </c>
      <c r="AG42" s="89">
        <v>0.0</v>
      </c>
      <c r="AH42" s="89">
        <v>0.0</v>
      </c>
      <c r="AI42" s="89">
        <v>0.0</v>
      </c>
      <c r="AJ42" s="89">
        <v>0.0</v>
      </c>
      <c r="AK42" s="90">
        <v>0.0</v>
      </c>
      <c r="AL42" s="85"/>
      <c r="AM42" s="85">
        <f t="shared" si="6"/>
        <v>0</v>
      </c>
      <c r="AN42" s="86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8">
        <v>0.0</v>
      </c>
      <c r="Q43" s="89">
        <v>0.0</v>
      </c>
      <c r="R43" s="88">
        <v>0.0</v>
      </c>
      <c r="S43" s="89">
        <v>0.0</v>
      </c>
      <c r="T43" s="89">
        <v>0.0</v>
      </c>
      <c r="U43" s="89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0.0</v>
      </c>
      <c r="AB43" s="89">
        <v>0.0</v>
      </c>
      <c r="AC43" s="89">
        <v>0.0</v>
      </c>
      <c r="AD43" s="89">
        <v>0.0</v>
      </c>
      <c r="AE43" s="89">
        <v>0.0</v>
      </c>
      <c r="AF43" s="89">
        <v>0.0</v>
      </c>
      <c r="AG43" s="89">
        <v>0.0</v>
      </c>
      <c r="AH43" s="89">
        <v>0.0</v>
      </c>
      <c r="AI43" s="89">
        <v>0.0</v>
      </c>
      <c r="AJ43" s="89">
        <v>0.0</v>
      </c>
      <c r="AK43" s="90">
        <v>0.0</v>
      </c>
      <c r="AL43" s="85"/>
      <c r="AM43" s="85">
        <f t="shared" si="6"/>
        <v>0</v>
      </c>
      <c r="AN43" s="86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10000</v>
      </c>
      <c r="O44" s="81">
        <v>0.0</v>
      </c>
      <c r="P44" s="88">
        <v>0.0</v>
      </c>
      <c r="Q44" s="89">
        <v>0.0</v>
      </c>
      <c r="R44" s="88">
        <v>0.0</v>
      </c>
      <c r="S44" s="89">
        <v>0.0</v>
      </c>
      <c r="T44" s="89">
        <v>0.0</v>
      </c>
      <c r="U44" s="89">
        <v>0.0</v>
      </c>
      <c r="V44" s="89">
        <v>0.0</v>
      </c>
      <c r="W44" s="89">
        <v>0.0</v>
      </c>
      <c r="X44" s="89">
        <v>0.0</v>
      </c>
      <c r="Y44" s="89">
        <v>0.0</v>
      </c>
      <c r="Z44" s="89">
        <v>0.0</v>
      </c>
      <c r="AA44" s="89">
        <v>0.0</v>
      </c>
      <c r="AB44" s="89">
        <v>0.0</v>
      </c>
      <c r="AC44" s="89">
        <v>0.0</v>
      </c>
      <c r="AD44" s="89">
        <v>0.0</v>
      </c>
      <c r="AE44" s="89">
        <v>0.0</v>
      </c>
      <c r="AF44" s="89">
        <v>0.0</v>
      </c>
      <c r="AG44" s="89">
        <v>0.0</v>
      </c>
      <c r="AH44" s="89">
        <v>0.0</v>
      </c>
      <c r="AI44" s="89">
        <v>0.0</v>
      </c>
      <c r="AJ44" s="89">
        <v>0.0</v>
      </c>
      <c r="AK44" s="90">
        <v>0.0</v>
      </c>
      <c r="AL44" s="85"/>
      <c r="AM44" s="85">
        <f t="shared" si="6"/>
        <v>0</v>
      </c>
      <c r="AN44" s="86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8">
        <v>0.0</v>
      </c>
      <c r="Q45" s="89">
        <v>0.0</v>
      </c>
      <c r="R45" s="88">
        <v>0.0</v>
      </c>
      <c r="S45" s="89">
        <v>0.0</v>
      </c>
      <c r="T45" s="89">
        <v>0.0</v>
      </c>
      <c r="U45" s="89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0.0</v>
      </c>
      <c r="AB45" s="89">
        <v>0.0</v>
      </c>
      <c r="AC45" s="89">
        <v>0.0</v>
      </c>
      <c r="AD45" s="89">
        <v>0.0</v>
      </c>
      <c r="AE45" s="89">
        <v>0.0</v>
      </c>
      <c r="AF45" s="89">
        <v>0.0</v>
      </c>
      <c r="AG45" s="89">
        <v>0.0</v>
      </c>
      <c r="AH45" s="89">
        <v>0.0</v>
      </c>
      <c r="AI45" s="89">
        <v>0.0</v>
      </c>
      <c r="AJ45" s="89">
        <v>0.0</v>
      </c>
      <c r="AK45" s="90">
        <v>0.0</v>
      </c>
      <c r="AL45" s="85"/>
      <c r="AM45" s="85">
        <f t="shared" si="6"/>
        <v>0</v>
      </c>
      <c r="AN45" s="86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58110.22</v>
      </c>
      <c r="O46" s="81">
        <v>0.0</v>
      </c>
      <c r="P46" s="88">
        <v>0.0</v>
      </c>
      <c r="Q46" s="89">
        <v>0.0</v>
      </c>
      <c r="R46" s="88">
        <v>0.0</v>
      </c>
      <c r="S46" s="89">
        <v>0.0</v>
      </c>
      <c r="T46" s="89">
        <v>0.0</v>
      </c>
      <c r="U46" s="89">
        <v>0.0</v>
      </c>
      <c r="V46" s="89">
        <v>0.0</v>
      </c>
      <c r="W46" s="89">
        <v>0.0</v>
      </c>
      <c r="X46" s="89">
        <v>0.0</v>
      </c>
      <c r="Y46" s="89">
        <v>0.0</v>
      </c>
      <c r="Z46" s="89">
        <v>0.0</v>
      </c>
      <c r="AA46" s="89">
        <v>0.0</v>
      </c>
      <c r="AB46" s="89">
        <v>0.0</v>
      </c>
      <c r="AC46" s="89">
        <v>0.0</v>
      </c>
      <c r="AD46" s="89">
        <v>0.0</v>
      </c>
      <c r="AE46" s="89">
        <v>0.0</v>
      </c>
      <c r="AF46" s="89">
        <v>0.0</v>
      </c>
      <c r="AG46" s="89">
        <v>0.0</v>
      </c>
      <c r="AH46" s="89">
        <v>0.0</v>
      </c>
      <c r="AI46" s="89">
        <v>0.0</v>
      </c>
      <c r="AJ46" s="89">
        <v>0.0</v>
      </c>
      <c r="AK46" s="90">
        <v>0.0</v>
      </c>
      <c r="AL46" s="85"/>
      <c r="AM46" s="85">
        <f t="shared" si="6"/>
        <v>0</v>
      </c>
      <c r="AN46" s="86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7621.32</v>
      </c>
      <c r="O47" s="81">
        <v>0.0</v>
      </c>
      <c r="P47" s="88">
        <v>0.0</v>
      </c>
      <c r="Q47" s="89">
        <v>0.0</v>
      </c>
      <c r="R47" s="88">
        <v>228.68</v>
      </c>
      <c r="S47" s="89">
        <v>0.0</v>
      </c>
      <c r="T47" s="89">
        <v>0.0</v>
      </c>
      <c r="U47" s="89">
        <v>0.0</v>
      </c>
      <c r="V47" s="89">
        <v>0.0</v>
      </c>
      <c r="W47" s="89">
        <v>0.0</v>
      </c>
      <c r="X47" s="89">
        <v>0.0</v>
      </c>
      <c r="Y47" s="89">
        <v>0.0</v>
      </c>
      <c r="Z47" s="89">
        <v>0.0</v>
      </c>
      <c r="AA47" s="89">
        <v>0.0</v>
      </c>
      <c r="AB47" s="89">
        <v>0.0</v>
      </c>
      <c r="AC47" s="89">
        <v>0.0</v>
      </c>
      <c r="AD47" s="89">
        <v>0.0</v>
      </c>
      <c r="AE47" s="89">
        <v>0.0</v>
      </c>
      <c r="AF47" s="89">
        <v>0.0</v>
      </c>
      <c r="AG47" s="89">
        <v>0.0</v>
      </c>
      <c r="AH47" s="89">
        <v>0.0</v>
      </c>
      <c r="AI47" s="89">
        <v>0.0</v>
      </c>
      <c r="AJ47" s="89">
        <v>0.0</v>
      </c>
      <c r="AK47" s="90">
        <v>0.0</v>
      </c>
      <c r="AL47" s="85"/>
      <c r="AM47" s="85">
        <f t="shared" si="6"/>
        <v>228.68</v>
      </c>
      <c r="AN47" s="86">
        <f t="shared" si="7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8">
        <v>0.0</v>
      </c>
      <c r="Q48" s="89">
        <v>0.0</v>
      </c>
      <c r="R48" s="88">
        <v>0.0</v>
      </c>
      <c r="S48" s="89">
        <v>0.0</v>
      </c>
      <c r="T48" s="89">
        <v>0.0</v>
      </c>
      <c r="U48" s="89">
        <v>0.0</v>
      </c>
      <c r="V48" s="89">
        <v>0.0</v>
      </c>
      <c r="W48" s="89">
        <v>0.0</v>
      </c>
      <c r="X48" s="89">
        <v>0.0</v>
      </c>
      <c r="Y48" s="89">
        <v>0.0</v>
      </c>
      <c r="Z48" s="89">
        <v>0.0</v>
      </c>
      <c r="AA48" s="89">
        <v>0.0</v>
      </c>
      <c r="AB48" s="89">
        <v>0.0</v>
      </c>
      <c r="AC48" s="89">
        <v>0.0</v>
      </c>
      <c r="AD48" s="89">
        <v>0.0</v>
      </c>
      <c r="AE48" s="89">
        <v>0.0</v>
      </c>
      <c r="AF48" s="89">
        <v>0.0</v>
      </c>
      <c r="AG48" s="89">
        <v>0.0</v>
      </c>
      <c r="AH48" s="89">
        <v>0.0</v>
      </c>
      <c r="AI48" s="89">
        <v>0.0</v>
      </c>
      <c r="AJ48" s="89">
        <v>0.0</v>
      </c>
      <c r="AK48" s="90">
        <v>0.0</v>
      </c>
      <c r="AL48" s="85"/>
      <c r="AM48" s="85">
        <f t="shared" si="6"/>
        <v>0</v>
      </c>
      <c r="AN48" s="86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312858</v>
      </c>
      <c r="O49" s="81">
        <v>0.0</v>
      </c>
      <c r="P49" s="88">
        <v>0.0</v>
      </c>
      <c r="Q49" s="89">
        <v>0.0</v>
      </c>
      <c r="R49" s="88">
        <v>0.0</v>
      </c>
      <c r="S49" s="89">
        <v>0.0</v>
      </c>
      <c r="T49" s="89">
        <v>0.0</v>
      </c>
      <c r="U49" s="89">
        <v>0.0</v>
      </c>
      <c r="V49" s="89">
        <v>0.0</v>
      </c>
      <c r="W49" s="89">
        <v>0.0</v>
      </c>
      <c r="X49" s="89">
        <v>0.0</v>
      </c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9">
        <v>0.0</v>
      </c>
      <c r="AH49" s="89">
        <v>0.0</v>
      </c>
      <c r="AI49" s="89">
        <v>0.0</v>
      </c>
      <c r="AJ49" s="89">
        <v>0.0</v>
      </c>
      <c r="AK49" s="90">
        <v>0.0</v>
      </c>
      <c r="AL49" s="85"/>
      <c r="AM49" s="85">
        <f t="shared" si="6"/>
        <v>0</v>
      </c>
      <c r="AN49" s="86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748952</v>
      </c>
      <c r="O50" s="81">
        <v>0.0</v>
      </c>
      <c r="P50" s="88">
        <v>0.0</v>
      </c>
      <c r="Q50" s="89">
        <v>0.0</v>
      </c>
      <c r="R50" s="88">
        <v>0.0</v>
      </c>
      <c r="S50" s="89">
        <v>0.0</v>
      </c>
      <c r="T50" s="89">
        <v>0.0</v>
      </c>
      <c r="U50" s="89">
        <v>0.0</v>
      </c>
      <c r="V50" s="89">
        <v>0.0</v>
      </c>
      <c r="W50" s="89">
        <v>0.0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0.0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v>0.0</v>
      </c>
      <c r="AL50" s="85"/>
      <c r="AM50" s="85">
        <f t="shared" si="6"/>
        <v>0</v>
      </c>
      <c r="AN50" s="86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8">
        <v>0.0</v>
      </c>
      <c r="Q51" s="89">
        <v>0.0</v>
      </c>
      <c r="R51" s="88">
        <v>0.0</v>
      </c>
      <c r="S51" s="89">
        <v>0.0</v>
      </c>
      <c r="T51" s="89">
        <v>0.0</v>
      </c>
      <c r="U51" s="89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0.0</v>
      </c>
      <c r="AE51" s="89">
        <v>0.0</v>
      </c>
      <c r="AF51" s="89">
        <v>0.0</v>
      </c>
      <c r="AG51" s="89">
        <v>0.0</v>
      </c>
      <c r="AH51" s="89">
        <v>0.0</v>
      </c>
      <c r="AI51" s="89">
        <v>0.0</v>
      </c>
      <c r="AJ51" s="89">
        <v>0.0</v>
      </c>
      <c r="AK51" s="90">
        <v>0.0</v>
      </c>
      <c r="AL51" s="85"/>
      <c r="AM51" s="85">
        <f t="shared" si="6"/>
        <v>0</v>
      </c>
      <c r="AN51" s="86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v>36.0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8">
        <v>0.0</v>
      </c>
      <c r="Q52" s="89">
        <v>0.0</v>
      </c>
      <c r="R52" s="88">
        <v>0.0</v>
      </c>
      <c r="S52" s="89">
        <v>0.0</v>
      </c>
      <c r="T52" s="89">
        <v>0.0</v>
      </c>
      <c r="U52" s="89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0.0</v>
      </c>
      <c r="AE52" s="89">
        <v>0.0</v>
      </c>
      <c r="AF52" s="89">
        <v>0.0</v>
      </c>
      <c r="AG52" s="89">
        <v>0.0</v>
      </c>
      <c r="AH52" s="89">
        <v>0.0</v>
      </c>
      <c r="AI52" s="89">
        <v>0.0</v>
      </c>
      <c r="AJ52" s="89">
        <v>0.0</v>
      </c>
      <c r="AK52" s="90">
        <v>0.0</v>
      </c>
      <c r="AL52" s="85"/>
      <c r="AM52" s="85">
        <f t="shared" si="6"/>
        <v>0</v>
      </c>
      <c r="AN52" s="86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v>37.0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8">
        <v>0.0</v>
      </c>
      <c r="Q53" s="89">
        <v>0.0</v>
      </c>
      <c r="R53" s="88">
        <v>0.0</v>
      </c>
      <c r="S53" s="89">
        <v>0.0</v>
      </c>
      <c r="T53" s="89">
        <v>0.0</v>
      </c>
      <c r="U53" s="89">
        <v>0.0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v>0.0</v>
      </c>
      <c r="AL53" s="85"/>
      <c r="AM53" s="85">
        <f t="shared" si="6"/>
        <v>0</v>
      </c>
      <c r="AN53" s="86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v>38.0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8">
        <v>0.0</v>
      </c>
      <c r="Q54" s="89">
        <v>0.0</v>
      </c>
      <c r="R54" s="88">
        <v>0.0</v>
      </c>
      <c r="S54" s="89">
        <v>0.0</v>
      </c>
      <c r="T54" s="89">
        <v>0.0</v>
      </c>
      <c r="U54" s="89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0.0</v>
      </c>
      <c r="AA54" s="89">
        <v>0.0</v>
      </c>
      <c r="AB54" s="89">
        <v>0.0</v>
      </c>
      <c r="AC54" s="89">
        <v>0.0</v>
      </c>
      <c r="AD54" s="89">
        <v>0.0</v>
      </c>
      <c r="AE54" s="89">
        <v>0.0</v>
      </c>
      <c r="AF54" s="89">
        <v>0.0</v>
      </c>
      <c r="AG54" s="89">
        <v>0.0</v>
      </c>
      <c r="AH54" s="89">
        <v>0.0</v>
      </c>
      <c r="AI54" s="89">
        <v>0.0</v>
      </c>
      <c r="AJ54" s="89">
        <v>0.0</v>
      </c>
      <c r="AK54" s="90">
        <v>0.0</v>
      </c>
      <c r="AL54" s="85"/>
      <c r="AM54" s="85">
        <f t="shared" si="6"/>
        <v>0</v>
      </c>
      <c r="AN54" s="86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v>39.0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8">
        <v>0.0</v>
      </c>
      <c r="Q55" s="89">
        <v>0.0</v>
      </c>
      <c r="R55" s="88">
        <v>0.0</v>
      </c>
      <c r="S55" s="89">
        <v>0.0</v>
      </c>
      <c r="T55" s="89">
        <v>0.0</v>
      </c>
      <c r="U55" s="89">
        <v>0.0</v>
      </c>
      <c r="V55" s="89">
        <v>0.0</v>
      </c>
      <c r="W55" s="89">
        <v>0.0</v>
      </c>
      <c r="X55" s="89">
        <v>0.0</v>
      </c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9">
        <v>0.0</v>
      </c>
      <c r="AH55" s="89">
        <v>0.0</v>
      </c>
      <c r="AI55" s="89">
        <v>0.0</v>
      </c>
      <c r="AJ55" s="89">
        <v>0.0</v>
      </c>
      <c r="AK55" s="90">
        <v>0.0</v>
      </c>
      <c r="AL55" s="85"/>
      <c r="AM55" s="85">
        <f t="shared" si="6"/>
        <v>0</v>
      </c>
      <c r="AN55" s="86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v>40.0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16000</v>
      </c>
      <c r="O56" s="81">
        <v>0.0</v>
      </c>
      <c r="P56" s="88">
        <v>0.0</v>
      </c>
      <c r="Q56" s="89">
        <v>0.0</v>
      </c>
      <c r="R56" s="88">
        <v>0.0</v>
      </c>
      <c r="S56" s="89">
        <v>0.0</v>
      </c>
      <c r="T56" s="89">
        <v>0.0</v>
      </c>
      <c r="U56" s="89">
        <v>0.0</v>
      </c>
      <c r="V56" s="89">
        <v>0.0</v>
      </c>
      <c r="W56" s="89">
        <v>0.0</v>
      </c>
      <c r="X56" s="89">
        <v>0.0</v>
      </c>
      <c r="Y56" s="89">
        <v>0.0</v>
      </c>
      <c r="Z56" s="89">
        <v>0.0</v>
      </c>
      <c r="AA56" s="89">
        <v>0.0</v>
      </c>
      <c r="AB56" s="89">
        <v>0.0</v>
      </c>
      <c r="AC56" s="89">
        <v>0.0</v>
      </c>
      <c r="AD56" s="89">
        <v>0.0</v>
      </c>
      <c r="AE56" s="89">
        <v>0.0</v>
      </c>
      <c r="AF56" s="89">
        <v>0.0</v>
      </c>
      <c r="AG56" s="89">
        <v>0.0</v>
      </c>
      <c r="AH56" s="89">
        <v>0.0</v>
      </c>
      <c r="AI56" s="89">
        <v>0.0</v>
      </c>
      <c r="AJ56" s="89">
        <v>0.0</v>
      </c>
      <c r="AK56" s="90">
        <v>0.0</v>
      </c>
      <c r="AL56" s="85"/>
      <c r="AM56" s="85">
        <f t="shared" si="6"/>
        <v>0</v>
      </c>
      <c r="AN56" s="86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v>41.0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8">
        <v>0.0</v>
      </c>
      <c r="Q57" s="89">
        <v>0.0</v>
      </c>
      <c r="R57" s="88">
        <v>0.0</v>
      </c>
      <c r="S57" s="89">
        <v>0.0</v>
      </c>
      <c r="T57" s="89">
        <v>0.0</v>
      </c>
      <c r="U57" s="89">
        <v>0.0</v>
      </c>
      <c r="V57" s="89">
        <v>0.0</v>
      </c>
      <c r="W57" s="89">
        <v>0.0</v>
      </c>
      <c r="X57" s="89">
        <v>0.0</v>
      </c>
      <c r="Y57" s="89">
        <v>0.0</v>
      </c>
      <c r="Z57" s="89">
        <v>0.0</v>
      </c>
      <c r="AA57" s="89">
        <v>0.0</v>
      </c>
      <c r="AB57" s="89">
        <v>0.0</v>
      </c>
      <c r="AC57" s="89">
        <v>0.0</v>
      </c>
      <c r="AD57" s="89">
        <v>0.0</v>
      </c>
      <c r="AE57" s="89">
        <v>0.0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v>0.0</v>
      </c>
      <c r="AL57" s="85"/>
      <c r="AM57" s="85">
        <f t="shared" si="6"/>
        <v>0</v>
      </c>
      <c r="AN57" s="86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v>42.0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25000</v>
      </c>
      <c r="O58" s="81">
        <v>0.0</v>
      </c>
      <c r="P58" s="88">
        <v>0.0</v>
      </c>
      <c r="Q58" s="89">
        <v>0.0</v>
      </c>
      <c r="R58" s="88">
        <v>0.0</v>
      </c>
      <c r="S58" s="89">
        <v>0.0</v>
      </c>
      <c r="T58" s="89">
        <v>0.0</v>
      </c>
      <c r="U58" s="89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0.0</v>
      </c>
      <c r="AD58" s="89">
        <v>0.0</v>
      </c>
      <c r="AE58" s="89">
        <v>0.0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v>0.0</v>
      </c>
      <c r="AL58" s="85"/>
      <c r="AM58" s="85">
        <f t="shared" si="6"/>
        <v>0</v>
      </c>
      <c r="AN58" s="86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v>43.0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8">
        <v>0.0</v>
      </c>
      <c r="Q59" s="89">
        <v>0.0</v>
      </c>
      <c r="R59" s="88">
        <v>0.0</v>
      </c>
      <c r="S59" s="89">
        <v>0.0</v>
      </c>
      <c r="T59" s="89">
        <v>0.0</v>
      </c>
      <c r="U59" s="89">
        <v>0.0</v>
      </c>
      <c r="V59" s="89">
        <v>0.0</v>
      </c>
      <c r="W59" s="89">
        <v>0.0</v>
      </c>
      <c r="X59" s="89">
        <v>0.0</v>
      </c>
      <c r="Y59" s="89">
        <v>0.0</v>
      </c>
      <c r="Z59" s="89">
        <v>0.0</v>
      </c>
      <c r="AA59" s="89">
        <v>0.0</v>
      </c>
      <c r="AB59" s="89">
        <v>0.0</v>
      </c>
      <c r="AC59" s="89">
        <v>0.0</v>
      </c>
      <c r="AD59" s="89">
        <v>0.0</v>
      </c>
      <c r="AE59" s="89">
        <v>0.0</v>
      </c>
      <c r="AF59" s="89">
        <v>0.0</v>
      </c>
      <c r="AG59" s="89">
        <v>0.0</v>
      </c>
      <c r="AH59" s="89">
        <v>0.0</v>
      </c>
      <c r="AI59" s="89">
        <v>0.0</v>
      </c>
      <c r="AJ59" s="89">
        <v>0.0</v>
      </c>
      <c r="AK59" s="90">
        <v>0.0</v>
      </c>
      <c r="AL59" s="85"/>
      <c r="AM59" s="85">
        <f t="shared" si="6"/>
        <v>0</v>
      </c>
      <c r="AN59" s="86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v>44.0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8">
        <v>0.0</v>
      </c>
      <c r="Q60" s="89">
        <v>0.0</v>
      </c>
      <c r="R60" s="88">
        <v>0.0</v>
      </c>
      <c r="S60" s="89">
        <v>0.0</v>
      </c>
      <c r="T60" s="89">
        <v>0.0</v>
      </c>
      <c r="U60" s="89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0.0</v>
      </c>
      <c r="AB60" s="89">
        <v>0.0</v>
      </c>
      <c r="AC60" s="89">
        <v>0.0</v>
      </c>
      <c r="AD60" s="89">
        <v>0.0</v>
      </c>
      <c r="AE60" s="89">
        <v>0.0</v>
      </c>
      <c r="AF60" s="89">
        <v>0.0</v>
      </c>
      <c r="AG60" s="89">
        <v>0.0</v>
      </c>
      <c r="AH60" s="89">
        <v>0.0</v>
      </c>
      <c r="AI60" s="89">
        <v>0.0</v>
      </c>
      <c r="AJ60" s="89">
        <v>0.0</v>
      </c>
      <c r="AK60" s="90">
        <v>0.0</v>
      </c>
      <c r="AL60" s="85"/>
      <c r="AM60" s="85">
        <f t="shared" si="6"/>
        <v>0</v>
      </c>
      <c r="AN60" s="86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v>45.0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8">
        <v>0.0</v>
      </c>
      <c r="Q61" s="89">
        <v>0.0</v>
      </c>
      <c r="R61" s="88">
        <v>0.0</v>
      </c>
      <c r="S61" s="89">
        <v>0.0</v>
      </c>
      <c r="T61" s="89">
        <v>0.0</v>
      </c>
      <c r="U61" s="89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v>0.0</v>
      </c>
      <c r="AL61" s="85"/>
      <c r="AM61" s="85">
        <f t="shared" si="6"/>
        <v>0</v>
      </c>
      <c r="AN61" s="86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v>46.0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8">
        <v>0.0</v>
      </c>
      <c r="Q62" s="89">
        <v>0.0</v>
      </c>
      <c r="R62" s="88">
        <v>0.0</v>
      </c>
      <c r="S62" s="89">
        <v>0.0</v>
      </c>
      <c r="T62" s="89">
        <v>0.0</v>
      </c>
      <c r="U62" s="89">
        <v>0.0</v>
      </c>
      <c r="V62" s="89">
        <v>0.0</v>
      </c>
      <c r="W62" s="89">
        <v>0.0</v>
      </c>
      <c r="X62" s="89">
        <v>0.0</v>
      </c>
      <c r="Y62" s="89">
        <v>0.0</v>
      </c>
      <c r="Z62" s="89">
        <v>0.0</v>
      </c>
      <c r="AA62" s="89">
        <v>0.0</v>
      </c>
      <c r="AB62" s="89">
        <v>0.0</v>
      </c>
      <c r="AC62" s="89">
        <v>0.0</v>
      </c>
      <c r="AD62" s="89">
        <v>0.0</v>
      </c>
      <c r="AE62" s="89">
        <v>0.0</v>
      </c>
      <c r="AF62" s="89">
        <v>0.0</v>
      </c>
      <c r="AG62" s="89">
        <v>0.0</v>
      </c>
      <c r="AH62" s="89">
        <v>0.0</v>
      </c>
      <c r="AI62" s="89">
        <v>0.0</v>
      </c>
      <c r="AJ62" s="89">
        <v>0.0</v>
      </c>
      <c r="AK62" s="90">
        <v>0.0</v>
      </c>
      <c r="AL62" s="85"/>
      <c r="AM62" s="85">
        <f t="shared" si="6"/>
        <v>0</v>
      </c>
      <c r="AN62" s="86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v>47.0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8">
        <v>0.0</v>
      </c>
      <c r="Q63" s="89">
        <v>0.0</v>
      </c>
      <c r="R63" s="88">
        <v>0.0</v>
      </c>
      <c r="S63" s="89">
        <v>0.0</v>
      </c>
      <c r="T63" s="89">
        <v>0.0</v>
      </c>
      <c r="U63" s="89">
        <v>0.0</v>
      </c>
      <c r="V63" s="89">
        <v>0.0</v>
      </c>
      <c r="W63" s="89">
        <v>0.0</v>
      </c>
      <c r="X63" s="89">
        <v>0.0</v>
      </c>
      <c r="Y63" s="89">
        <v>0.0</v>
      </c>
      <c r="Z63" s="89">
        <v>0.0</v>
      </c>
      <c r="AA63" s="89">
        <v>0.0</v>
      </c>
      <c r="AB63" s="89">
        <v>0.0</v>
      </c>
      <c r="AC63" s="89">
        <v>0.0</v>
      </c>
      <c r="AD63" s="89">
        <v>0.0</v>
      </c>
      <c r="AE63" s="89">
        <v>0.0</v>
      </c>
      <c r="AF63" s="89">
        <v>0.0</v>
      </c>
      <c r="AG63" s="89">
        <v>0.0</v>
      </c>
      <c r="AH63" s="89">
        <v>0.0</v>
      </c>
      <c r="AI63" s="89">
        <v>0.0</v>
      </c>
      <c r="AJ63" s="89">
        <v>0.0</v>
      </c>
      <c r="AK63" s="90">
        <v>0.0</v>
      </c>
      <c r="AL63" s="85"/>
      <c r="AM63" s="85">
        <f t="shared" si="6"/>
        <v>0</v>
      </c>
      <c r="AN63" s="86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v>48.0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7500</v>
      </c>
      <c r="O64" s="81">
        <v>0.0</v>
      </c>
      <c r="P64" s="88">
        <v>0.0</v>
      </c>
      <c r="Q64" s="89">
        <v>0.0</v>
      </c>
      <c r="R64" s="88">
        <v>0.0</v>
      </c>
      <c r="S64" s="89">
        <v>0.0</v>
      </c>
      <c r="T64" s="89">
        <v>0.0</v>
      </c>
      <c r="U64" s="89">
        <v>0.0</v>
      </c>
      <c r="V64" s="89">
        <v>0.0</v>
      </c>
      <c r="W64" s="89">
        <v>0.0</v>
      </c>
      <c r="X64" s="89">
        <v>0.0</v>
      </c>
      <c r="Y64" s="89">
        <v>0.0</v>
      </c>
      <c r="Z64" s="89">
        <v>0.0</v>
      </c>
      <c r="AA64" s="89">
        <v>0.0</v>
      </c>
      <c r="AB64" s="89">
        <v>0.0</v>
      </c>
      <c r="AC64" s="89">
        <v>0.0</v>
      </c>
      <c r="AD64" s="89">
        <v>0.0</v>
      </c>
      <c r="AE64" s="89">
        <v>0.0</v>
      </c>
      <c r="AF64" s="89">
        <v>0.0</v>
      </c>
      <c r="AG64" s="89">
        <v>0.0</v>
      </c>
      <c r="AH64" s="89">
        <v>0.0</v>
      </c>
      <c r="AI64" s="89">
        <v>0.0</v>
      </c>
      <c r="AJ64" s="89">
        <v>0.0</v>
      </c>
      <c r="AK64" s="90">
        <v>0.0</v>
      </c>
      <c r="AL64" s="85"/>
      <c r="AM64" s="85">
        <f t="shared" si="6"/>
        <v>0</v>
      </c>
      <c r="AN64" s="86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v>49.0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8">
        <v>0.0</v>
      </c>
      <c r="Q65" s="89">
        <v>0.0</v>
      </c>
      <c r="R65" s="88">
        <v>0.0</v>
      </c>
      <c r="S65" s="89">
        <v>0.0</v>
      </c>
      <c r="T65" s="89">
        <v>0.0</v>
      </c>
      <c r="U65" s="89">
        <v>0.0</v>
      </c>
      <c r="V65" s="89">
        <v>0.0</v>
      </c>
      <c r="W65" s="89">
        <v>0.0</v>
      </c>
      <c r="X65" s="89">
        <v>0.0</v>
      </c>
      <c r="Y65" s="89">
        <v>0.0</v>
      </c>
      <c r="Z65" s="89">
        <v>0.0</v>
      </c>
      <c r="AA65" s="89">
        <v>0.0</v>
      </c>
      <c r="AB65" s="89">
        <v>0.0</v>
      </c>
      <c r="AC65" s="89">
        <v>0.0</v>
      </c>
      <c r="AD65" s="89">
        <v>0.0</v>
      </c>
      <c r="AE65" s="89">
        <v>0.0</v>
      </c>
      <c r="AF65" s="89">
        <v>0.0</v>
      </c>
      <c r="AG65" s="89">
        <v>0.0</v>
      </c>
      <c r="AH65" s="89">
        <v>0.0</v>
      </c>
      <c r="AI65" s="89">
        <v>0.0</v>
      </c>
      <c r="AJ65" s="89">
        <v>0.0</v>
      </c>
      <c r="AK65" s="90">
        <v>0.0</v>
      </c>
      <c r="AL65" s="85"/>
      <c r="AM65" s="85">
        <f t="shared" si="6"/>
        <v>0</v>
      </c>
      <c r="AN65" s="86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v>50.0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78">
        <v>0.0</v>
      </c>
      <c r="K66" s="78">
        <f t="shared" si="2"/>
        <v>1243628.52</v>
      </c>
      <c r="L66" s="79">
        <f t="shared" si="3"/>
        <v>0.0894696777</v>
      </c>
      <c r="M66" s="78">
        <f t="shared" si="4"/>
        <v>15.12433288</v>
      </c>
      <c r="N66" s="80">
        <f t="shared" si="5"/>
        <v>1243628.52</v>
      </c>
      <c r="O66" s="81">
        <v>0.0</v>
      </c>
      <c r="P66" s="88">
        <v>0.0</v>
      </c>
      <c r="Q66" s="89">
        <v>0.0</v>
      </c>
      <c r="R66" s="88">
        <v>0.0</v>
      </c>
      <c r="S66" s="89">
        <v>0.0</v>
      </c>
      <c r="T66" s="89">
        <v>0.0</v>
      </c>
      <c r="U66" s="89">
        <v>0.0</v>
      </c>
      <c r="V66" s="89">
        <v>0.0</v>
      </c>
      <c r="W66" s="89">
        <v>0.0</v>
      </c>
      <c r="X66" s="89">
        <v>0.0</v>
      </c>
      <c r="Y66" s="89">
        <v>0.0</v>
      </c>
      <c r="Z66" s="89">
        <v>0.0</v>
      </c>
      <c r="AA66" s="89">
        <v>0.0</v>
      </c>
      <c r="AB66" s="89">
        <v>0.0</v>
      </c>
      <c r="AC66" s="89">
        <v>0.0</v>
      </c>
      <c r="AD66" s="89">
        <v>0.0</v>
      </c>
      <c r="AE66" s="89">
        <v>0.0</v>
      </c>
      <c r="AF66" s="89">
        <v>0.0</v>
      </c>
      <c r="AG66" s="89">
        <v>0.0</v>
      </c>
      <c r="AH66" s="89">
        <v>0.0</v>
      </c>
      <c r="AI66" s="89">
        <v>0.0</v>
      </c>
      <c r="AJ66" s="89">
        <v>0.0</v>
      </c>
      <c r="AK66" s="90">
        <v>0.0</v>
      </c>
      <c r="AL66" s="85"/>
      <c r="AM66" s="85">
        <f t="shared" si="6"/>
        <v>0</v>
      </c>
      <c r="AN66" s="86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v>51.0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25000</v>
      </c>
      <c r="O67" s="89">
        <v>0.0</v>
      </c>
      <c r="P67" s="89">
        <v>0.0</v>
      </c>
      <c r="Q67" s="89">
        <v>0.0</v>
      </c>
      <c r="R67" s="89">
        <v>0.0</v>
      </c>
      <c r="S67" s="89">
        <v>0.0</v>
      </c>
      <c r="T67" s="89">
        <v>0.0</v>
      </c>
      <c r="U67" s="89">
        <v>0.0</v>
      </c>
      <c r="V67" s="89">
        <v>0.0</v>
      </c>
      <c r="W67" s="89">
        <v>0.0</v>
      </c>
      <c r="X67" s="89">
        <v>0.0</v>
      </c>
      <c r="Y67" s="89">
        <v>0.0</v>
      </c>
      <c r="Z67" s="89">
        <v>0.0</v>
      </c>
      <c r="AA67" s="92">
        <v>0.0</v>
      </c>
      <c r="AB67" s="92">
        <v>0.0</v>
      </c>
      <c r="AC67" s="92">
        <v>0.0</v>
      </c>
      <c r="AD67" s="92">
        <v>0.0</v>
      </c>
      <c r="AE67" s="92">
        <v>0.0</v>
      </c>
      <c r="AF67" s="92">
        <v>0.0</v>
      </c>
      <c r="AG67" s="92">
        <v>0.0</v>
      </c>
      <c r="AH67" s="92">
        <v>0.0</v>
      </c>
      <c r="AI67" s="92">
        <v>0.0</v>
      </c>
      <c r="AJ67" s="92">
        <v>0.0</v>
      </c>
      <c r="AK67" s="93">
        <v>0.0</v>
      </c>
      <c r="AL67" s="85"/>
      <c r="AM67" s="85">
        <f t="shared" si="6"/>
        <v>0</v>
      </c>
      <c r="AN67" s="86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v>53.0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78">
        <v>0.0</v>
      </c>
      <c r="K68" s="78">
        <f t="shared" si="2"/>
        <v>6434.31</v>
      </c>
      <c r="L68" s="79">
        <f t="shared" si="3"/>
        <v>0.0004629</v>
      </c>
      <c r="M68" s="78">
        <f t="shared" si="4"/>
        <v>0.07825057463</v>
      </c>
      <c r="N68" s="80">
        <f t="shared" si="5"/>
        <v>1843.18</v>
      </c>
      <c r="O68" s="89">
        <v>373.54</v>
      </c>
      <c r="P68" s="89">
        <v>239.79</v>
      </c>
      <c r="Q68" s="89">
        <v>1457.96</v>
      </c>
      <c r="R68" s="89">
        <v>592.9</v>
      </c>
      <c r="S68" s="89">
        <v>592.9</v>
      </c>
      <c r="T68" s="89">
        <v>0.0</v>
      </c>
      <c r="U68" s="89">
        <v>1334.04</v>
      </c>
      <c r="V68" s="89">
        <v>0.0</v>
      </c>
      <c r="W68" s="89">
        <v>0.0</v>
      </c>
      <c r="X68" s="89">
        <v>0.0</v>
      </c>
      <c r="Y68" s="89">
        <v>0.0</v>
      </c>
      <c r="Z68" s="89">
        <v>0.0</v>
      </c>
      <c r="AA68" s="89">
        <v>0.0</v>
      </c>
      <c r="AB68" s="89">
        <v>0.0</v>
      </c>
      <c r="AC68" s="89">
        <v>0.0</v>
      </c>
      <c r="AD68" s="89">
        <v>0.0</v>
      </c>
      <c r="AE68" s="89">
        <v>0.0</v>
      </c>
      <c r="AF68" s="89">
        <v>0.0</v>
      </c>
      <c r="AG68" s="89">
        <v>0.0</v>
      </c>
      <c r="AH68" s="89">
        <v>0.0</v>
      </c>
      <c r="AI68" s="89">
        <v>0.0</v>
      </c>
      <c r="AJ68" s="89">
        <v>0.0</v>
      </c>
      <c r="AK68" s="90">
        <v>0.0</v>
      </c>
      <c r="AL68" s="85"/>
      <c r="AM68" s="85">
        <f t="shared" si="6"/>
        <v>4591.13</v>
      </c>
      <c r="AN68" s="86">
        <f t="shared" si="7"/>
        <v>0.7135388255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v>54.0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0.2675520206</v>
      </c>
      <c r="N69" s="80">
        <f t="shared" si="5"/>
        <v>12564.78</v>
      </c>
      <c r="O69" s="87">
        <v>75.0</v>
      </c>
      <c r="P69" s="88">
        <v>1042.4</v>
      </c>
      <c r="Q69" s="89">
        <v>1415.85</v>
      </c>
      <c r="R69" s="88">
        <v>3129.78</v>
      </c>
      <c r="S69" s="88">
        <v>1820.77</v>
      </c>
      <c r="T69" s="89">
        <v>0.0</v>
      </c>
      <c r="U69" s="88">
        <v>1951.42</v>
      </c>
      <c r="V69" s="89">
        <v>0.0</v>
      </c>
      <c r="W69" s="89">
        <v>0.0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0.0</v>
      </c>
      <c r="AG69" s="89">
        <v>0.0</v>
      </c>
      <c r="AH69" s="89">
        <v>0.0</v>
      </c>
      <c r="AI69" s="89">
        <v>0.0</v>
      </c>
      <c r="AJ69" s="89">
        <v>0.0</v>
      </c>
      <c r="AK69" s="90">
        <v>0.0</v>
      </c>
      <c r="AL69" s="85"/>
      <c r="AM69" s="85">
        <f t="shared" si="6"/>
        <v>9435.22</v>
      </c>
      <c r="AN69" s="86">
        <f t="shared" si="7"/>
        <v>0.4288736364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v>55.0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10970</v>
      </c>
      <c r="O70" s="81">
        <v>0.0</v>
      </c>
      <c r="P70" s="88">
        <v>0.0</v>
      </c>
      <c r="Q70" s="89">
        <v>0.0</v>
      </c>
      <c r="R70" s="88">
        <v>0.0</v>
      </c>
      <c r="S70" s="89">
        <v>0.0</v>
      </c>
      <c r="T70" s="89">
        <v>0.0</v>
      </c>
      <c r="U70" s="89">
        <v>0.0</v>
      </c>
      <c r="V70" s="89">
        <v>0.0</v>
      </c>
      <c r="W70" s="89">
        <v>0.0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0.0</v>
      </c>
      <c r="AG70" s="89">
        <v>0.0</v>
      </c>
      <c r="AH70" s="89">
        <v>0.0</v>
      </c>
      <c r="AI70" s="89">
        <v>0.0</v>
      </c>
      <c r="AJ70" s="89">
        <v>0.0</v>
      </c>
      <c r="AK70" s="90">
        <v>0.0</v>
      </c>
      <c r="AL70" s="85"/>
      <c r="AM70" s="85">
        <f t="shared" si="6"/>
        <v>0</v>
      </c>
      <c r="AN70" s="86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v>56.0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23332.97</v>
      </c>
      <c r="O71" s="81">
        <v>0.0</v>
      </c>
      <c r="P71" s="88">
        <v>0.0</v>
      </c>
      <c r="Q71" s="89">
        <v>0.0</v>
      </c>
      <c r="R71" s="88">
        <v>0.0</v>
      </c>
      <c r="S71" s="89">
        <v>0.0</v>
      </c>
      <c r="T71" s="89">
        <v>0.0</v>
      </c>
      <c r="U71" s="88">
        <v>1667.03</v>
      </c>
      <c r="V71" s="89">
        <v>0.0</v>
      </c>
      <c r="W71" s="89">
        <v>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0.0</v>
      </c>
      <c r="AE71" s="89">
        <v>0.0</v>
      </c>
      <c r="AF71" s="89">
        <v>0.0</v>
      </c>
      <c r="AG71" s="89">
        <v>0.0</v>
      </c>
      <c r="AH71" s="89">
        <v>0.0</v>
      </c>
      <c r="AI71" s="89">
        <v>0.0</v>
      </c>
      <c r="AJ71" s="89">
        <v>0.0</v>
      </c>
      <c r="AK71" s="90">
        <v>0.0</v>
      </c>
      <c r="AL71" s="85"/>
      <c r="AM71" s="85">
        <f t="shared" si="6"/>
        <v>1667.03</v>
      </c>
      <c r="AN71" s="86">
        <f t="shared" si="7"/>
        <v>0.0666812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v>57.0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8">
        <v>0.0</v>
      </c>
      <c r="Q72" s="89">
        <v>0.0</v>
      </c>
      <c r="R72" s="88">
        <v>0.0</v>
      </c>
      <c r="S72" s="89">
        <v>0.0</v>
      </c>
      <c r="T72" s="89">
        <v>0.0</v>
      </c>
      <c r="U72" s="89">
        <v>0.0</v>
      </c>
      <c r="V72" s="89">
        <v>0.0</v>
      </c>
      <c r="W72" s="89">
        <v>0.0</v>
      </c>
      <c r="X72" s="89">
        <v>0.0</v>
      </c>
      <c r="Y72" s="89">
        <v>0.0</v>
      </c>
      <c r="Z72" s="89">
        <v>0.0</v>
      </c>
      <c r="AA72" s="89">
        <v>0.0</v>
      </c>
      <c r="AB72" s="89">
        <v>0.0</v>
      </c>
      <c r="AC72" s="89">
        <v>0.0</v>
      </c>
      <c r="AD72" s="89">
        <v>0.0</v>
      </c>
      <c r="AE72" s="89">
        <v>0.0</v>
      </c>
      <c r="AF72" s="89">
        <v>0.0</v>
      </c>
      <c r="AG72" s="89">
        <v>0.0</v>
      </c>
      <c r="AH72" s="89">
        <v>0.0</v>
      </c>
      <c r="AI72" s="89">
        <v>0.0</v>
      </c>
      <c r="AJ72" s="89">
        <v>0.0</v>
      </c>
      <c r="AK72" s="90">
        <v>0.0</v>
      </c>
      <c r="AL72" s="85"/>
      <c r="AM72" s="85">
        <f t="shared" si="6"/>
        <v>0</v>
      </c>
      <c r="AN72" s="86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v>58.0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8">
        <v>0.0</v>
      </c>
      <c r="Q73" s="89">
        <v>0.0</v>
      </c>
      <c r="R73" s="88">
        <v>0.0</v>
      </c>
      <c r="S73" s="89">
        <v>0.0</v>
      </c>
      <c r="T73" s="89">
        <v>0.0</v>
      </c>
      <c r="U73" s="89">
        <v>0.0</v>
      </c>
      <c r="V73" s="89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0.0</v>
      </c>
      <c r="AB73" s="89">
        <v>0.0</v>
      </c>
      <c r="AC73" s="89">
        <v>0.0</v>
      </c>
      <c r="AD73" s="89">
        <v>0.0</v>
      </c>
      <c r="AE73" s="89">
        <v>0.0</v>
      </c>
      <c r="AF73" s="89">
        <v>0.0</v>
      </c>
      <c r="AG73" s="89">
        <v>0.0</v>
      </c>
      <c r="AH73" s="89">
        <v>0.0</v>
      </c>
      <c r="AI73" s="89">
        <v>0.0</v>
      </c>
      <c r="AJ73" s="89">
        <v>0.0</v>
      </c>
      <c r="AK73" s="90">
        <v>0.0</v>
      </c>
      <c r="AL73" s="85"/>
      <c r="AM73" s="85">
        <f t="shared" si="6"/>
        <v>0</v>
      </c>
      <c r="AN73" s="86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v>59.0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8">
        <v>0.0</v>
      </c>
      <c r="Q74" s="89">
        <v>0.0</v>
      </c>
      <c r="R74" s="88">
        <v>0.0</v>
      </c>
      <c r="S74" s="89">
        <v>0.0</v>
      </c>
      <c r="T74" s="89">
        <v>0.0</v>
      </c>
      <c r="U74" s="89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0.0</v>
      </c>
      <c r="AB74" s="89">
        <v>0.0</v>
      </c>
      <c r="AC74" s="89">
        <v>0.0</v>
      </c>
      <c r="AD74" s="89">
        <v>0.0</v>
      </c>
      <c r="AE74" s="89">
        <v>0.0</v>
      </c>
      <c r="AF74" s="89">
        <v>0.0</v>
      </c>
      <c r="AG74" s="89">
        <v>0.0</v>
      </c>
      <c r="AH74" s="89">
        <v>0.0</v>
      </c>
      <c r="AI74" s="89">
        <v>0.0</v>
      </c>
      <c r="AJ74" s="89">
        <v>0.0</v>
      </c>
      <c r="AK74" s="90">
        <v>0.0</v>
      </c>
      <c r="AL74" s="85"/>
      <c r="AM74" s="85">
        <f t="shared" si="6"/>
        <v>0</v>
      </c>
      <c r="AN74" s="86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v>60.0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3594.25</v>
      </c>
      <c r="O75" s="87">
        <v>900.0</v>
      </c>
      <c r="P75" s="88">
        <v>450.0</v>
      </c>
      <c r="Q75" s="89">
        <v>900.0</v>
      </c>
      <c r="R75" s="88">
        <v>450.0</v>
      </c>
      <c r="S75" s="88">
        <v>450.0</v>
      </c>
      <c r="T75" s="88">
        <v>355.75</v>
      </c>
      <c r="U75" s="88">
        <v>1900.0</v>
      </c>
      <c r="V75" s="89">
        <v>0.0</v>
      </c>
      <c r="W75" s="89">
        <v>0.0</v>
      </c>
      <c r="X75" s="89">
        <v>0.0</v>
      </c>
      <c r="Y75" s="89">
        <v>0.0</v>
      </c>
      <c r="Z75" s="89">
        <v>0.0</v>
      </c>
      <c r="AA75" s="89">
        <v>0.0</v>
      </c>
      <c r="AB75" s="89">
        <v>0.0</v>
      </c>
      <c r="AC75" s="89">
        <v>0.0</v>
      </c>
      <c r="AD75" s="89">
        <v>0.0</v>
      </c>
      <c r="AE75" s="89">
        <v>0.0</v>
      </c>
      <c r="AF75" s="89">
        <v>0.0</v>
      </c>
      <c r="AG75" s="89">
        <v>0.0</v>
      </c>
      <c r="AH75" s="89">
        <v>0.0</v>
      </c>
      <c r="AI75" s="89">
        <v>0.0</v>
      </c>
      <c r="AJ75" s="89">
        <v>0.0</v>
      </c>
      <c r="AK75" s="90">
        <v>0.0</v>
      </c>
      <c r="AL75" s="85"/>
      <c r="AM75" s="85">
        <f t="shared" si="6"/>
        <v>5405.75</v>
      </c>
      <c r="AN75" s="86">
        <f t="shared" si="7"/>
        <v>0.6006388889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v>61.0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1885.15</v>
      </c>
      <c r="O76" s="87">
        <v>243.49</v>
      </c>
      <c r="P76" s="88">
        <v>1797.51</v>
      </c>
      <c r="Q76" s="89">
        <v>304.14</v>
      </c>
      <c r="R76" s="88">
        <v>432.3</v>
      </c>
      <c r="S76" s="88">
        <v>428.07</v>
      </c>
      <c r="T76" s="88">
        <v>2409.34</v>
      </c>
      <c r="U76" s="89">
        <v>0.0</v>
      </c>
      <c r="V76" s="89">
        <v>0.0</v>
      </c>
      <c r="W76" s="89">
        <v>0.0</v>
      </c>
      <c r="X76" s="89">
        <v>0.0</v>
      </c>
      <c r="Y76" s="89">
        <v>0.0</v>
      </c>
      <c r="Z76" s="89">
        <v>0.0</v>
      </c>
      <c r="AA76" s="89">
        <v>0.0</v>
      </c>
      <c r="AB76" s="89">
        <v>0.0</v>
      </c>
      <c r="AC76" s="89">
        <v>0.0</v>
      </c>
      <c r="AD76" s="89">
        <v>0.0</v>
      </c>
      <c r="AE76" s="89">
        <v>0.0</v>
      </c>
      <c r="AF76" s="89">
        <v>0.0</v>
      </c>
      <c r="AG76" s="89">
        <v>0.0</v>
      </c>
      <c r="AH76" s="89">
        <v>0.0</v>
      </c>
      <c r="AI76" s="89">
        <v>0.0</v>
      </c>
      <c r="AJ76" s="89">
        <v>0.0</v>
      </c>
      <c r="AK76" s="90">
        <v>0.0</v>
      </c>
      <c r="AL76" s="85"/>
      <c r="AM76" s="85">
        <f t="shared" si="6"/>
        <v>5614.85</v>
      </c>
      <c r="AN76" s="86">
        <f t="shared" si="7"/>
        <v>0.7486466667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v>62.0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6642.88</v>
      </c>
      <c r="O77" s="87">
        <v>3299.17</v>
      </c>
      <c r="P77" s="88">
        <v>203.3</v>
      </c>
      <c r="Q77" s="89">
        <v>2122.76</v>
      </c>
      <c r="R77" s="88">
        <v>1231.89</v>
      </c>
      <c r="S77" s="89">
        <v>0.0</v>
      </c>
      <c r="T77" s="89">
        <v>0.0</v>
      </c>
      <c r="U77" s="89">
        <v>0.0</v>
      </c>
      <c r="V77" s="89">
        <v>0.0</v>
      </c>
      <c r="W77" s="89">
        <v>0.0</v>
      </c>
      <c r="X77" s="89">
        <v>0.0</v>
      </c>
      <c r="Y77" s="89">
        <v>0.0</v>
      </c>
      <c r="Z77" s="89">
        <v>0.0</v>
      </c>
      <c r="AA77" s="89">
        <v>0.0</v>
      </c>
      <c r="AB77" s="89">
        <v>0.0</v>
      </c>
      <c r="AC77" s="89">
        <v>0.0</v>
      </c>
      <c r="AD77" s="89">
        <v>0.0</v>
      </c>
      <c r="AE77" s="89">
        <v>0.0</v>
      </c>
      <c r="AF77" s="89">
        <v>0.0</v>
      </c>
      <c r="AG77" s="89">
        <v>0.0</v>
      </c>
      <c r="AH77" s="89">
        <v>0.0</v>
      </c>
      <c r="AI77" s="89">
        <v>0.0</v>
      </c>
      <c r="AJ77" s="89">
        <v>0.0</v>
      </c>
      <c r="AK77" s="90">
        <v>0.0</v>
      </c>
      <c r="AL77" s="85"/>
      <c r="AM77" s="85">
        <f t="shared" si="6"/>
        <v>6857.12</v>
      </c>
      <c r="AN77" s="86">
        <f t="shared" si="7"/>
        <v>0.5079348148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v>63.0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v>0.0</v>
      </c>
      <c r="K78" s="78">
        <f t="shared" si="2"/>
        <v>35000</v>
      </c>
      <c r="L78" s="79">
        <f t="shared" si="3"/>
        <v>0.002517985612</v>
      </c>
      <c r="M78" s="78">
        <f t="shared" si="4"/>
        <v>0.4256509419</v>
      </c>
      <c r="N78" s="80">
        <f t="shared" si="5"/>
        <v>15600</v>
      </c>
      <c r="O78" s="87">
        <v>2750.0</v>
      </c>
      <c r="P78" s="88">
        <v>2750.0</v>
      </c>
      <c r="Q78" s="89">
        <v>2750.0</v>
      </c>
      <c r="R78" s="88">
        <v>4550.0</v>
      </c>
      <c r="S78" s="88">
        <v>500.0</v>
      </c>
      <c r="T78" s="88">
        <v>5500.0</v>
      </c>
      <c r="U78" s="88">
        <v>600.0</v>
      </c>
      <c r="V78" s="89">
        <v>0.0</v>
      </c>
      <c r="W78" s="89">
        <v>0.0</v>
      </c>
      <c r="X78" s="89">
        <v>0.0</v>
      </c>
      <c r="Y78" s="89">
        <v>0.0</v>
      </c>
      <c r="Z78" s="89">
        <v>0.0</v>
      </c>
      <c r="AA78" s="89">
        <v>0.0</v>
      </c>
      <c r="AB78" s="89">
        <v>0.0</v>
      </c>
      <c r="AC78" s="89">
        <v>0.0</v>
      </c>
      <c r="AD78" s="89">
        <v>0.0</v>
      </c>
      <c r="AE78" s="89">
        <v>0.0</v>
      </c>
      <c r="AF78" s="89">
        <v>0.0</v>
      </c>
      <c r="AG78" s="89">
        <v>0.0</v>
      </c>
      <c r="AH78" s="89">
        <v>0.0</v>
      </c>
      <c r="AI78" s="89">
        <v>0.0</v>
      </c>
      <c r="AJ78" s="89">
        <v>0.0</v>
      </c>
      <c r="AK78" s="90">
        <v>0.0</v>
      </c>
      <c r="AL78" s="85"/>
      <c r="AM78" s="85">
        <f t="shared" si="6"/>
        <v>19400</v>
      </c>
      <c r="AN78" s="86">
        <f t="shared" si="7"/>
        <v>0.5542857143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v>64.0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78">
        <v>0.0</v>
      </c>
      <c r="K79" s="78">
        <f t="shared" si="2"/>
        <v>5462</v>
      </c>
      <c r="L79" s="79">
        <f t="shared" si="3"/>
        <v>0.0003929496403</v>
      </c>
      <c r="M79" s="78">
        <f t="shared" si="4"/>
        <v>0.06642586985</v>
      </c>
      <c r="N79" s="80">
        <f t="shared" si="5"/>
        <v>1152.8</v>
      </c>
      <c r="O79" s="87">
        <v>74.8</v>
      </c>
      <c r="P79" s="88">
        <v>3720.8</v>
      </c>
      <c r="Q79" s="89">
        <v>260.8</v>
      </c>
      <c r="R79" s="88">
        <v>252.8</v>
      </c>
      <c r="S79" s="89">
        <v>0.0</v>
      </c>
      <c r="T79" s="89">
        <v>0.0</v>
      </c>
      <c r="U79" s="89">
        <v>0.0</v>
      </c>
      <c r="V79" s="89">
        <v>0.0</v>
      </c>
      <c r="W79" s="89">
        <v>0.0</v>
      </c>
      <c r="X79" s="89">
        <v>0.0</v>
      </c>
      <c r="Y79" s="89">
        <v>0.0</v>
      </c>
      <c r="Z79" s="89">
        <v>0.0</v>
      </c>
      <c r="AA79" s="89">
        <v>0.0</v>
      </c>
      <c r="AB79" s="89">
        <v>0.0</v>
      </c>
      <c r="AC79" s="89">
        <v>0.0</v>
      </c>
      <c r="AD79" s="89">
        <v>0.0</v>
      </c>
      <c r="AE79" s="89">
        <v>0.0</v>
      </c>
      <c r="AF79" s="89">
        <v>0.0</v>
      </c>
      <c r="AG79" s="89">
        <v>0.0</v>
      </c>
      <c r="AH79" s="89">
        <v>0.0</v>
      </c>
      <c r="AI79" s="89">
        <v>0.0</v>
      </c>
      <c r="AJ79" s="89">
        <v>0.0</v>
      </c>
      <c r="AK79" s="90">
        <v>0.0</v>
      </c>
      <c r="AL79" s="85"/>
      <c r="AM79" s="85">
        <f t="shared" si="6"/>
        <v>4309.2</v>
      </c>
      <c r="AN79" s="86">
        <f t="shared" si="7"/>
        <v>0.7889417796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v>65.0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8">
        <v>0.0</v>
      </c>
      <c r="Q80" s="89">
        <v>0.0</v>
      </c>
      <c r="R80" s="88">
        <v>0.0</v>
      </c>
      <c r="S80" s="89">
        <v>0.0</v>
      </c>
      <c r="T80" s="89">
        <v>0.0</v>
      </c>
      <c r="U80" s="89">
        <v>0.0</v>
      </c>
      <c r="V80" s="89">
        <v>0.0</v>
      </c>
      <c r="W80" s="89">
        <v>0.0</v>
      </c>
      <c r="X80" s="89">
        <v>0.0</v>
      </c>
      <c r="Y80" s="89">
        <v>0.0</v>
      </c>
      <c r="Z80" s="89">
        <v>0.0</v>
      </c>
      <c r="AA80" s="89">
        <v>0.0</v>
      </c>
      <c r="AB80" s="89">
        <v>0.0</v>
      </c>
      <c r="AC80" s="89">
        <v>0.0</v>
      </c>
      <c r="AD80" s="89">
        <v>0.0</v>
      </c>
      <c r="AE80" s="89">
        <v>0.0</v>
      </c>
      <c r="AF80" s="89">
        <v>0.0</v>
      </c>
      <c r="AG80" s="89">
        <v>0.0</v>
      </c>
      <c r="AH80" s="89">
        <v>0.0</v>
      </c>
      <c r="AI80" s="89">
        <v>0.0</v>
      </c>
      <c r="AJ80" s="89">
        <v>0.0</v>
      </c>
      <c r="AK80" s="90">
        <v>0.0</v>
      </c>
      <c r="AL80" s="85"/>
      <c r="AM80" s="85">
        <f t="shared" si="6"/>
        <v>0</v>
      </c>
      <c r="AN80" s="86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v>66.0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78">
        <v>0.0</v>
      </c>
      <c r="K81" s="78">
        <f t="shared" si="2"/>
        <v>30000</v>
      </c>
      <c r="L81" s="79">
        <f t="shared" si="3"/>
        <v>0.002158273381</v>
      </c>
      <c r="M81" s="78">
        <f t="shared" si="4"/>
        <v>0.3648436645</v>
      </c>
      <c r="N81" s="80">
        <f t="shared" si="5"/>
        <v>29528.13</v>
      </c>
      <c r="O81" s="81">
        <v>0.0</v>
      </c>
      <c r="P81" s="88">
        <v>0.0</v>
      </c>
      <c r="Q81" s="89">
        <v>0.0</v>
      </c>
      <c r="R81" s="88">
        <v>471.87</v>
      </c>
      <c r="S81" s="89">
        <v>0.0</v>
      </c>
      <c r="T81" s="89">
        <v>0.0</v>
      </c>
      <c r="U81" s="89">
        <v>0.0</v>
      </c>
      <c r="V81" s="89">
        <v>0.0</v>
      </c>
      <c r="W81" s="89">
        <v>0.0</v>
      </c>
      <c r="X81" s="89">
        <v>0.0</v>
      </c>
      <c r="Y81" s="89">
        <v>0.0</v>
      </c>
      <c r="Z81" s="89">
        <v>0.0</v>
      </c>
      <c r="AA81" s="89">
        <v>0.0</v>
      </c>
      <c r="AB81" s="89">
        <v>0.0</v>
      </c>
      <c r="AC81" s="89">
        <v>0.0</v>
      </c>
      <c r="AD81" s="89">
        <v>0.0</v>
      </c>
      <c r="AE81" s="89">
        <v>0.0</v>
      </c>
      <c r="AF81" s="89">
        <v>0.0</v>
      </c>
      <c r="AG81" s="89">
        <v>0.0</v>
      </c>
      <c r="AH81" s="89">
        <v>0.0</v>
      </c>
      <c r="AI81" s="89">
        <v>0.0</v>
      </c>
      <c r="AJ81" s="89">
        <v>0.0</v>
      </c>
      <c r="AK81" s="90">
        <v>0.0</v>
      </c>
      <c r="AL81" s="85"/>
      <c r="AM81" s="85">
        <f t="shared" si="6"/>
        <v>471.87</v>
      </c>
      <c r="AN81" s="86">
        <f t="shared" si="7"/>
        <v>0.015729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v>67.0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8">
        <v>0.0</v>
      </c>
      <c r="Q82" s="89">
        <v>0.0</v>
      </c>
      <c r="R82" s="88">
        <v>0.0</v>
      </c>
      <c r="S82" s="89">
        <v>0.0</v>
      </c>
      <c r="T82" s="89">
        <v>0.0</v>
      </c>
      <c r="U82" s="89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0.0</v>
      </c>
      <c r="AB82" s="89">
        <v>0.0</v>
      </c>
      <c r="AC82" s="89">
        <v>0.0</v>
      </c>
      <c r="AD82" s="89">
        <v>0.0</v>
      </c>
      <c r="AE82" s="89">
        <v>0.0</v>
      </c>
      <c r="AF82" s="89">
        <v>0.0</v>
      </c>
      <c r="AG82" s="89">
        <v>0.0</v>
      </c>
      <c r="AH82" s="89">
        <v>0.0</v>
      </c>
      <c r="AI82" s="89">
        <v>0.0</v>
      </c>
      <c r="AJ82" s="89">
        <v>0.0</v>
      </c>
      <c r="AK82" s="90">
        <v>0.0</v>
      </c>
      <c r="AL82" s="85"/>
      <c r="AM82" s="85">
        <f t="shared" si="6"/>
        <v>0</v>
      </c>
      <c r="AN82" s="86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v>68.0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102000</v>
      </c>
      <c r="O83" s="87">
        <v>29000.0</v>
      </c>
      <c r="P83" s="88">
        <v>17000.0</v>
      </c>
      <c r="Q83" s="89">
        <v>17000.0</v>
      </c>
      <c r="R83" s="88">
        <v>17000.0</v>
      </c>
      <c r="S83" s="88">
        <v>17000.0</v>
      </c>
      <c r="T83" s="88">
        <v>34000.0</v>
      </c>
      <c r="U83" s="89">
        <v>0.0</v>
      </c>
      <c r="V83" s="89">
        <v>0.0</v>
      </c>
      <c r="W83" s="89">
        <v>0.0</v>
      </c>
      <c r="X83" s="89">
        <v>0.0</v>
      </c>
      <c r="Y83" s="89">
        <v>0.0</v>
      </c>
      <c r="Z83" s="89">
        <v>0.0</v>
      </c>
      <c r="AA83" s="89">
        <v>0.0</v>
      </c>
      <c r="AB83" s="89">
        <v>0.0</v>
      </c>
      <c r="AC83" s="89">
        <v>0.0</v>
      </c>
      <c r="AD83" s="89">
        <v>0.0</v>
      </c>
      <c r="AE83" s="89">
        <v>0.0</v>
      </c>
      <c r="AF83" s="89">
        <v>0.0</v>
      </c>
      <c r="AG83" s="89">
        <v>0.0</v>
      </c>
      <c r="AH83" s="89">
        <v>0.0</v>
      </c>
      <c r="AI83" s="89">
        <v>0.0</v>
      </c>
      <c r="AJ83" s="89">
        <v>0.0</v>
      </c>
      <c r="AK83" s="90">
        <v>0.0</v>
      </c>
      <c r="AL83" s="85"/>
      <c r="AM83" s="85">
        <f t="shared" si="6"/>
        <v>131000</v>
      </c>
      <c r="AN83" s="86">
        <f t="shared" si="7"/>
        <v>0.5622317597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v>69.0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8">
        <v>0.0</v>
      </c>
      <c r="Q84" s="89">
        <v>0.0</v>
      </c>
      <c r="R84" s="88">
        <v>0.0</v>
      </c>
      <c r="S84" s="89">
        <v>0.0</v>
      </c>
      <c r="T84" s="89">
        <v>0.0</v>
      </c>
      <c r="U84" s="89">
        <v>0.0</v>
      </c>
      <c r="V84" s="89">
        <v>0.0</v>
      </c>
      <c r="W84" s="89">
        <v>0.0</v>
      </c>
      <c r="X84" s="89">
        <v>0.0</v>
      </c>
      <c r="Y84" s="89">
        <v>0.0</v>
      </c>
      <c r="Z84" s="89">
        <v>0.0</v>
      </c>
      <c r="AA84" s="89">
        <v>0.0</v>
      </c>
      <c r="AB84" s="89">
        <v>0.0</v>
      </c>
      <c r="AC84" s="89">
        <v>0.0</v>
      </c>
      <c r="AD84" s="89">
        <v>0.0</v>
      </c>
      <c r="AE84" s="89">
        <v>0.0</v>
      </c>
      <c r="AF84" s="89">
        <v>0.0</v>
      </c>
      <c r="AG84" s="89">
        <v>0.0</v>
      </c>
      <c r="AH84" s="89">
        <v>0.0</v>
      </c>
      <c r="AI84" s="89">
        <v>0.0</v>
      </c>
      <c r="AJ84" s="89">
        <v>0.0</v>
      </c>
      <c r="AK84" s="90">
        <v>0.0</v>
      </c>
      <c r="AL84" s="85"/>
      <c r="AM84" s="85">
        <f t="shared" si="6"/>
        <v>0</v>
      </c>
      <c r="AN84" s="86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v>70.0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8">
        <v>0.0</v>
      </c>
      <c r="Q85" s="89">
        <v>0.0</v>
      </c>
      <c r="R85" s="88">
        <v>0.0</v>
      </c>
      <c r="S85" s="89">
        <v>0.0</v>
      </c>
      <c r="T85" s="89">
        <v>0.0</v>
      </c>
      <c r="U85" s="89">
        <v>0.0</v>
      </c>
      <c r="V85" s="89">
        <v>0.0</v>
      </c>
      <c r="W85" s="89">
        <v>0.0</v>
      </c>
      <c r="X85" s="89">
        <v>0.0</v>
      </c>
      <c r="Y85" s="89">
        <v>0.0</v>
      </c>
      <c r="Z85" s="89">
        <v>0.0</v>
      </c>
      <c r="AA85" s="89">
        <v>0.0</v>
      </c>
      <c r="AB85" s="89">
        <v>0.0</v>
      </c>
      <c r="AC85" s="89">
        <v>0.0</v>
      </c>
      <c r="AD85" s="89">
        <v>0.0</v>
      </c>
      <c r="AE85" s="89">
        <v>0.0</v>
      </c>
      <c r="AF85" s="89">
        <v>0.0</v>
      </c>
      <c r="AG85" s="89">
        <v>0.0</v>
      </c>
      <c r="AH85" s="89">
        <v>0.0</v>
      </c>
      <c r="AI85" s="89">
        <v>0.0</v>
      </c>
      <c r="AJ85" s="89">
        <v>0.0</v>
      </c>
      <c r="AK85" s="90">
        <v>0.0</v>
      </c>
      <c r="AL85" s="85"/>
      <c r="AM85" s="85">
        <f t="shared" si="6"/>
        <v>0</v>
      </c>
      <c r="AN85" s="86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v>71.0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516574.8605</v>
      </c>
      <c r="O86" s="81">
        <v>31670.86500000001</v>
      </c>
      <c r="P86" s="88">
        <v>45486.89</v>
      </c>
      <c r="Q86" s="88">
        <v>56446.59</v>
      </c>
      <c r="R86" s="88">
        <f>((267613.58)+SUM(R16:R85))*0.05</f>
        <v>33096.9445</v>
      </c>
      <c r="S86" s="88">
        <v>6277.74</v>
      </c>
      <c r="T86" s="88">
        <v>22112.94</v>
      </c>
      <c r="U86" s="88">
        <v>21316.7</v>
      </c>
      <c r="V86" s="89">
        <v>0.0</v>
      </c>
      <c r="W86" s="89">
        <v>0.0</v>
      </c>
      <c r="X86" s="89">
        <v>0.0</v>
      </c>
      <c r="Y86" s="89">
        <v>0.0</v>
      </c>
      <c r="Z86" s="89">
        <v>0.0</v>
      </c>
      <c r="AA86" s="89">
        <v>0.0</v>
      </c>
      <c r="AB86" s="89">
        <v>0.0</v>
      </c>
      <c r="AC86" s="89">
        <v>0.0</v>
      </c>
      <c r="AD86" s="89">
        <v>0.0</v>
      </c>
      <c r="AE86" s="89">
        <v>0.0</v>
      </c>
      <c r="AF86" s="89">
        <v>0.0</v>
      </c>
      <c r="AG86" s="89">
        <v>0.0</v>
      </c>
      <c r="AH86" s="89">
        <v>0.0</v>
      </c>
      <c r="AI86" s="89">
        <v>0.0</v>
      </c>
      <c r="AJ86" s="89">
        <v>0.0</v>
      </c>
      <c r="AK86" s="90">
        <v>0.0</v>
      </c>
      <c r="AL86" s="85"/>
      <c r="AM86" s="85">
        <f t="shared" si="6"/>
        <v>216408.6695</v>
      </c>
      <c r="AN86" s="86">
        <f t="shared" si="7"/>
        <v>0.2952435637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v>72.0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89">
        <v>0.0</v>
      </c>
      <c r="Q87" s="89">
        <v>0.0</v>
      </c>
      <c r="R87" s="89">
        <v>0.0</v>
      </c>
      <c r="S87" s="89">
        <v>0.0</v>
      </c>
      <c r="T87" s="89">
        <v>0.0</v>
      </c>
      <c r="U87" s="89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0.0</v>
      </c>
      <c r="AG87" s="89">
        <v>0.0</v>
      </c>
      <c r="AH87" s="89">
        <v>0.0</v>
      </c>
      <c r="AI87" s="89">
        <v>0.0</v>
      </c>
      <c r="AJ87" s="89">
        <v>0.0</v>
      </c>
      <c r="AK87" s="90">
        <v>0.0</v>
      </c>
      <c r="AL87" s="85"/>
      <c r="AM87" s="85">
        <f t="shared" si="6"/>
        <v>0</v>
      </c>
      <c r="AN87" s="86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v>73.0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89">
        <v>0.0</v>
      </c>
      <c r="Q88" s="89">
        <v>0.0</v>
      </c>
      <c r="R88" s="89">
        <v>0.0</v>
      </c>
      <c r="S88" s="89">
        <v>0.0</v>
      </c>
      <c r="T88" s="89">
        <v>0.0</v>
      </c>
      <c r="U88" s="89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0.0</v>
      </c>
      <c r="AA88" s="89">
        <v>0.0</v>
      </c>
      <c r="AB88" s="89">
        <v>0.0</v>
      </c>
      <c r="AC88" s="89">
        <v>0.0</v>
      </c>
      <c r="AD88" s="89">
        <v>0.0</v>
      </c>
      <c r="AE88" s="89">
        <v>0.0</v>
      </c>
      <c r="AF88" s="89">
        <v>0.0</v>
      </c>
      <c r="AG88" s="89">
        <v>0.0</v>
      </c>
      <c r="AH88" s="89">
        <v>0.0</v>
      </c>
      <c r="AI88" s="89">
        <v>0.0</v>
      </c>
      <c r="AJ88" s="89">
        <v>0.0</v>
      </c>
      <c r="AK88" s="90">
        <v>0.0</v>
      </c>
      <c r="AL88" s="85"/>
      <c r="AM88" s="85">
        <f t="shared" si="6"/>
        <v>0</v>
      </c>
      <c r="AN88" s="86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v>74.0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89">
        <v>0.0</v>
      </c>
      <c r="Q89" s="89">
        <v>0.0</v>
      </c>
      <c r="R89" s="89">
        <v>0.0</v>
      </c>
      <c r="S89" s="89">
        <v>0.0</v>
      </c>
      <c r="T89" s="89">
        <v>0.0</v>
      </c>
      <c r="U89" s="89">
        <v>0.0</v>
      </c>
      <c r="V89" s="89">
        <v>0.0</v>
      </c>
      <c r="W89" s="89">
        <v>0.0</v>
      </c>
      <c r="X89" s="89">
        <v>0.0</v>
      </c>
      <c r="Y89" s="89">
        <v>0.0</v>
      </c>
      <c r="Z89" s="89">
        <v>0.0</v>
      </c>
      <c r="AA89" s="89">
        <v>0.0</v>
      </c>
      <c r="AB89" s="89">
        <v>0.0</v>
      </c>
      <c r="AC89" s="89">
        <v>0.0</v>
      </c>
      <c r="AD89" s="89">
        <v>0.0</v>
      </c>
      <c r="AE89" s="89">
        <v>0.0</v>
      </c>
      <c r="AF89" s="89">
        <v>0.0</v>
      </c>
      <c r="AG89" s="89">
        <v>0.0</v>
      </c>
      <c r="AH89" s="89">
        <v>0.0</v>
      </c>
      <c r="AI89" s="89">
        <v>0.0</v>
      </c>
      <c r="AJ89" s="89">
        <v>0.0</v>
      </c>
      <c r="AK89" s="90">
        <v>0.0</v>
      </c>
      <c r="AL89" s="85"/>
      <c r="AM89" s="85">
        <f t="shared" si="6"/>
        <v>0</v>
      </c>
      <c r="AN89" s="86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v>75.0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89">
        <v>0.0</v>
      </c>
      <c r="Q90" s="89">
        <v>0.0</v>
      </c>
      <c r="R90" s="89">
        <v>0.0</v>
      </c>
      <c r="S90" s="89">
        <v>0.0</v>
      </c>
      <c r="T90" s="89">
        <v>0.0</v>
      </c>
      <c r="U90" s="89">
        <v>0.0</v>
      </c>
      <c r="V90" s="89">
        <v>0.0</v>
      </c>
      <c r="W90" s="89">
        <v>0.0</v>
      </c>
      <c r="X90" s="89">
        <v>0.0</v>
      </c>
      <c r="Y90" s="89">
        <v>0.0</v>
      </c>
      <c r="Z90" s="89">
        <v>0.0</v>
      </c>
      <c r="AA90" s="89">
        <v>0.0</v>
      </c>
      <c r="AB90" s="89">
        <v>0.0</v>
      </c>
      <c r="AC90" s="89">
        <v>0.0</v>
      </c>
      <c r="AD90" s="89">
        <v>0.0</v>
      </c>
      <c r="AE90" s="89">
        <v>0.0</v>
      </c>
      <c r="AF90" s="89">
        <v>0.0</v>
      </c>
      <c r="AG90" s="89">
        <v>0.0</v>
      </c>
      <c r="AH90" s="89">
        <v>0.0</v>
      </c>
      <c r="AI90" s="89">
        <v>0.0</v>
      </c>
      <c r="AJ90" s="89">
        <v>0.0</v>
      </c>
      <c r="AK90" s="90">
        <v>0.0</v>
      </c>
      <c r="AL90" s="85"/>
      <c r="AM90" s="85">
        <f t="shared" si="6"/>
        <v>0</v>
      </c>
      <c r="AN90" s="86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v>76.0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89">
        <v>0.0</v>
      </c>
      <c r="Q91" s="89">
        <v>0.0</v>
      </c>
      <c r="R91" s="89">
        <v>0.0</v>
      </c>
      <c r="S91" s="89">
        <v>0.0</v>
      </c>
      <c r="T91" s="89">
        <v>0.0</v>
      </c>
      <c r="U91" s="89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0.0</v>
      </c>
      <c r="AF91" s="89">
        <v>0.0</v>
      </c>
      <c r="AG91" s="89">
        <v>0.0</v>
      </c>
      <c r="AH91" s="89">
        <v>0.0</v>
      </c>
      <c r="AI91" s="89">
        <v>0.0</v>
      </c>
      <c r="AJ91" s="89">
        <v>0.0</v>
      </c>
      <c r="AK91" s="90">
        <v>0.0</v>
      </c>
      <c r="AL91" s="85"/>
      <c r="AM91" s="85">
        <f t="shared" si="6"/>
        <v>0</v>
      </c>
      <c r="AN91" s="86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v>77.0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89">
        <v>0.0</v>
      </c>
      <c r="Q92" s="89">
        <v>0.0</v>
      </c>
      <c r="R92" s="89">
        <v>0.0</v>
      </c>
      <c r="S92" s="89">
        <v>0.0</v>
      </c>
      <c r="T92" s="89">
        <v>0.0</v>
      </c>
      <c r="U92" s="89">
        <v>0.0</v>
      </c>
      <c r="V92" s="89">
        <v>0.0</v>
      </c>
      <c r="W92" s="89">
        <v>0.0</v>
      </c>
      <c r="X92" s="89">
        <v>0.0</v>
      </c>
      <c r="Y92" s="89">
        <v>0.0</v>
      </c>
      <c r="Z92" s="89">
        <v>0.0</v>
      </c>
      <c r="AA92" s="89">
        <v>0.0</v>
      </c>
      <c r="AB92" s="89">
        <v>0.0</v>
      </c>
      <c r="AC92" s="89">
        <v>0.0</v>
      </c>
      <c r="AD92" s="89">
        <v>0.0</v>
      </c>
      <c r="AE92" s="89">
        <v>0.0</v>
      </c>
      <c r="AF92" s="89">
        <v>0.0</v>
      </c>
      <c r="AG92" s="89">
        <v>0.0</v>
      </c>
      <c r="AH92" s="89">
        <v>0.0</v>
      </c>
      <c r="AI92" s="89">
        <v>0.0</v>
      </c>
      <c r="AJ92" s="89">
        <v>0.0</v>
      </c>
      <c r="AK92" s="90">
        <v>0.0</v>
      </c>
      <c r="AL92" s="85"/>
      <c r="AM92" s="85">
        <f t="shared" si="6"/>
        <v>0</v>
      </c>
      <c r="AN92" s="86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v>78.0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89">
        <v>0.0</v>
      </c>
      <c r="Q93" s="89">
        <v>0.0</v>
      </c>
      <c r="R93" s="89">
        <v>0.0</v>
      </c>
      <c r="S93" s="89">
        <v>0.0</v>
      </c>
      <c r="T93" s="89">
        <v>0.0</v>
      </c>
      <c r="U93" s="89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0.0</v>
      </c>
      <c r="AA93" s="89">
        <v>0.0</v>
      </c>
      <c r="AB93" s="89">
        <v>0.0</v>
      </c>
      <c r="AC93" s="89">
        <v>0.0</v>
      </c>
      <c r="AD93" s="89">
        <v>0.0</v>
      </c>
      <c r="AE93" s="89">
        <v>0.0</v>
      </c>
      <c r="AF93" s="89">
        <v>0.0</v>
      </c>
      <c r="AG93" s="89">
        <v>0.0</v>
      </c>
      <c r="AH93" s="89">
        <v>0.0</v>
      </c>
      <c r="AI93" s="89">
        <v>0.0</v>
      </c>
      <c r="AJ93" s="89">
        <v>0.0</v>
      </c>
      <c r="AK93" s="90">
        <v>0.0</v>
      </c>
      <c r="AL93" s="85"/>
      <c r="AM93" s="85">
        <f t="shared" si="6"/>
        <v>0</v>
      </c>
      <c r="AN93" s="86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v>79.0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89">
        <v>0.0</v>
      </c>
      <c r="Q94" s="89">
        <v>0.0</v>
      </c>
      <c r="R94" s="89">
        <v>0.0</v>
      </c>
      <c r="S94" s="89">
        <v>0.0</v>
      </c>
      <c r="T94" s="89">
        <v>0.0</v>
      </c>
      <c r="U94" s="89">
        <v>0.0</v>
      </c>
      <c r="V94" s="89">
        <v>0.0</v>
      </c>
      <c r="W94" s="89">
        <v>0.0</v>
      </c>
      <c r="X94" s="89">
        <v>0.0</v>
      </c>
      <c r="Y94" s="89">
        <v>0.0</v>
      </c>
      <c r="Z94" s="89">
        <v>0.0</v>
      </c>
      <c r="AA94" s="89">
        <v>0.0</v>
      </c>
      <c r="AB94" s="89">
        <v>0.0</v>
      </c>
      <c r="AC94" s="89">
        <v>0.0</v>
      </c>
      <c r="AD94" s="89">
        <v>0.0</v>
      </c>
      <c r="AE94" s="89">
        <v>0.0</v>
      </c>
      <c r="AF94" s="89">
        <v>0.0</v>
      </c>
      <c r="AG94" s="89">
        <v>0.0</v>
      </c>
      <c r="AH94" s="89">
        <v>0.0</v>
      </c>
      <c r="AI94" s="89">
        <v>0.0</v>
      </c>
      <c r="AJ94" s="89">
        <v>0.0</v>
      </c>
      <c r="AK94" s="90">
        <v>0.0</v>
      </c>
      <c r="AL94" s="85"/>
      <c r="AM94" s="85">
        <f t="shared" si="6"/>
        <v>0</v>
      </c>
      <c r="AN94" s="86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v>80.0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89">
        <v>0.0</v>
      </c>
      <c r="Q95" s="89">
        <v>0.0</v>
      </c>
      <c r="R95" s="89">
        <v>0.0</v>
      </c>
      <c r="S95" s="89">
        <v>0.0</v>
      </c>
      <c r="T95" s="89">
        <v>0.0</v>
      </c>
      <c r="U95" s="89">
        <v>0.0</v>
      </c>
      <c r="V95" s="89">
        <v>0.0</v>
      </c>
      <c r="W95" s="89">
        <v>0.0</v>
      </c>
      <c r="X95" s="89">
        <v>0.0</v>
      </c>
      <c r="Y95" s="89">
        <v>0.0</v>
      </c>
      <c r="Z95" s="89">
        <v>0.0</v>
      </c>
      <c r="AA95" s="89">
        <v>0.0</v>
      </c>
      <c r="AB95" s="89">
        <v>0.0</v>
      </c>
      <c r="AC95" s="89">
        <v>0.0</v>
      </c>
      <c r="AD95" s="89">
        <v>0.0</v>
      </c>
      <c r="AE95" s="89">
        <v>0.0</v>
      </c>
      <c r="AF95" s="89">
        <v>0.0</v>
      </c>
      <c r="AG95" s="89">
        <v>0.0</v>
      </c>
      <c r="AH95" s="89">
        <v>0.0</v>
      </c>
      <c r="AI95" s="89">
        <v>0.0</v>
      </c>
      <c r="AJ95" s="89">
        <v>0.0</v>
      </c>
      <c r="AK95" s="90">
        <v>0.0</v>
      </c>
      <c r="AL95" s="85"/>
      <c r="AM95" s="85">
        <f t="shared" si="6"/>
        <v>0</v>
      </c>
      <c r="AN95" s="86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v>81.0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89">
        <v>0.0</v>
      </c>
      <c r="Q96" s="89">
        <v>0.0</v>
      </c>
      <c r="R96" s="89">
        <v>0.0</v>
      </c>
      <c r="S96" s="89">
        <v>0.0</v>
      </c>
      <c r="T96" s="89">
        <v>0.0</v>
      </c>
      <c r="U96" s="89">
        <v>0.0</v>
      </c>
      <c r="V96" s="89">
        <v>0.0</v>
      </c>
      <c r="W96" s="89">
        <v>0.0</v>
      </c>
      <c r="X96" s="89">
        <v>0.0</v>
      </c>
      <c r="Y96" s="89">
        <v>0.0</v>
      </c>
      <c r="Z96" s="89">
        <v>0.0</v>
      </c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9">
        <v>0.0</v>
      </c>
      <c r="AH96" s="89">
        <v>0.0</v>
      </c>
      <c r="AI96" s="89">
        <v>0.0</v>
      </c>
      <c r="AJ96" s="89">
        <v>0.0</v>
      </c>
      <c r="AK96" s="90">
        <v>0.0</v>
      </c>
      <c r="AL96" s="85"/>
      <c r="AM96" s="85">
        <f t="shared" si="6"/>
        <v>0</v>
      </c>
      <c r="AN96" s="86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v>82.0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89">
        <v>0.0</v>
      </c>
      <c r="Q97" s="89">
        <v>0.0</v>
      </c>
      <c r="R97" s="89">
        <v>0.0</v>
      </c>
      <c r="S97" s="89">
        <v>0.0</v>
      </c>
      <c r="T97" s="89">
        <v>0.0</v>
      </c>
      <c r="U97" s="89">
        <v>0.0</v>
      </c>
      <c r="V97" s="89">
        <v>0.0</v>
      </c>
      <c r="W97" s="89">
        <v>0.0</v>
      </c>
      <c r="X97" s="89">
        <v>0.0</v>
      </c>
      <c r="Y97" s="89">
        <v>0.0</v>
      </c>
      <c r="Z97" s="89">
        <v>0.0</v>
      </c>
      <c r="AA97" s="89">
        <v>0.0</v>
      </c>
      <c r="AB97" s="89">
        <v>0.0</v>
      </c>
      <c r="AC97" s="89">
        <v>0.0</v>
      </c>
      <c r="AD97" s="89">
        <v>0.0</v>
      </c>
      <c r="AE97" s="89">
        <v>0.0</v>
      </c>
      <c r="AF97" s="89">
        <v>0.0</v>
      </c>
      <c r="AG97" s="89">
        <v>0.0</v>
      </c>
      <c r="AH97" s="89">
        <v>0.0</v>
      </c>
      <c r="AI97" s="89">
        <v>0.0</v>
      </c>
      <c r="AJ97" s="89">
        <v>0.0</v>
      </c>
      <c r="AK97" s="90">
        <v>0.0</v>
      </c>
      <c r="AL97" s="85"/>
      <c r="AM97" s="85">
        <f t="shared" si="6"/>
        <v>0</v>
      </c>
      <c r="AN97" s="86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v>83.0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89">
        <v>0.0</v>
      </c>
      <c r="Q98" s="89">
        <v>0.0</v>
      </c>
      <c r="R98" s="89">
        <v>0.0</v>
      </c>
      <c r="S98" s="89">
        <v>0.0</v>
      </c>
      <c r="T98" s="89">
        <v>0.0</v>
      </c>
      <c r="U98" s="89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0.0</v>
      </c>
      <c r="AE98" s="89">
        <v>0.0</v>
      </c>
      <c r="AF98" s="89">
        <v>0.0</v>
      </c>
      <c r="AG98" s="89">
        <v>0.0</v>
      </c>
      <c r="AH98" s="89">
        <v>0.0</v>
      </c>
      <c r="AI98" s="89">
        <v>0.0</v>
      </c>
      <c r="AJ98" s="89">
        <v>0.0</v>
      </c>
      <c r="AK98" s="90">
        <v>0.0</v>
      </c>
      <c r="AL98" s="85"/>
      <c r="AM98" s="85">
        <f t="shared" si="6"/>
        <v>0</v>
      </c>
      <c r="AN98" s="86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v>84.0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89">
        <v>0.0</v>
      </c>
      <c r="Q99" s="89">
        <v>0.0</v>
      </c>
      <c r="R99" s="89">
        <v>0.0</v>
      </c>
      <c r="S99" s="89">
        <v>0.0</v>
      </c>
      <c r="T99" s="89">
        <v>0.0</v>
      </c>
      <c r="U99" s="89">
        <v>0.0</v>
      </c>
      <c r="V99" s="89">
        <v>0.0</v>
      </c>
      <c r="W99" s="89">
        <v>0.0</v>
      </c>
      <c r="X99" s="89">
        <v>0.0</v>
      </c>
      <c r="Y99" s="89">
        <v>0.0</v>
      </c>
      <c r="Z99" s="89">
        <v>0.0</v>
      </c>
      <c r="AA99" s="89">
        <v>0.0</v>
      </c>
      <c r="AB99" s="89">
        <v>0.0</v>
      </c>
      <c r="AC99" s="89">
        <v>0.0</v>
      </c>
      <c r="AD99" s="89">
        <v>0.0</v>
      </c>
      <c r="AE99" s="89">
        <v>0.0</v>
      </c>
      <c r="AF99" s="89">
        <v>0.0</v>
      </c>
      <c r="AG99" s="89">
        <v>0.0</v>
      </c>
      <c r="AH99" s="89">
        <v>0.0</v>
      </c>
      <c r="AI99" s="89">
        <v>0.0</v>
      </c>
      <c r="AJ99" s="89">
        <v>0.0</v>
      </c>
      <c r="AK99" s="90">
        <v>0.0</v>
      </c>
      <c r="AL99" s="85"/>
      <c r="AM99" s="85">
        <f t="shared" si="6"/>
        <v>0</v>
      </c>
      <c r="AN99" s="86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v>85.0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89">
        <v>0.0</v>
      </c>
      <c r="Q100" s="89">
        <v>0.0</v>
      </c>
      <c r="R100" s="89">
        <v>0.0</v>
      </c>
      <c r="S100" s="89">
        <v>0.0</v>
      </c>
      <c r="T100" s="89">
        <v>0.0</v>
      </c>
      <c r="U100" s="89">
        <v>0.0</v>
      </c>
      <c r="V100" s="89">
        <v>0.0</v>
      </c>
      <c r="W100" s="89">
        <v>0.0</v>
      </c>
      <c r="X100" s="89">
        <v>0.0</v>
      </c>
      <c r="Y100" s="89">
        <v>0.0</v>
      </c>
      <c r="Z100" s="89">
        <v>0.0</v>
      </c>
      <c r="AA100" s="89">
        <v>0.0</v>
      </c>
      <c r="AB100" s="89">
        <v>0.0</v>
      </c>
      <c r="AC100" s="89">
        <v>0.0</v>
      </c>
      <c r="AD100" s="89">
        <v>0.0</v>
      </c>
      <c r="AE100" s="89">
        <v>0.0</v>
      </c>
      <c r="AF100" s="89">
        <v>0.0</v>
      </c>
      <c r="AG100" s="89">
        <v>0.0</v>
      </c>
      <c r="AH100" s="89">
        <v>0.0</v>
      </c>
      <c r="AI100" s="89">
        <v>0.0</v>
      </c>
      <c r="AJ100" s="89">
        <v>0.0</v>
      </c>
      <c r="AK100" s="90">
        <v>0.0</v>
      </c>
      <c r="AL100" s="85"/>
      <c r="AM100" s="85">
        <f t="shared" si="6"/>
        <v>0</v>
      </c>
      <c r="AN100" s="86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v>86.0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89">
        <v>0.0</v>
      </c>
      <c r="Q101" s="89">
        <v>0.0</v>
      </c>
      <c r="R101" s="89">
        <v>0.0</v>
      </c>
      <c r="S101" s="89">
        <v>0.0</v>
      </c>
      <c r="T101" s="89">
        <v>0.0</v>
      </c>
      <c r="U101" s="89">
        <v>0.0</v>
      </c>
      <c r="V101" s="89">
        <v>0.0</v>
      </c>
      <c r="W101" s="89">
        <v>0.0</v>
      </c>
      <c r="X101" s="89">
        <v>0.0</v>
      </c>
      <c r="Y101" s="89">
        <v>0.0</v>
      </c>
      <c r="Z101" s="89">
        <v>0.0</v>
      </c>
      <c r="AA101" s="89">
        <v>0.0</v>
      </c>
      <c r="AB101" s="89">
        <v>0.0</v>
      </c>
      <c r="AC101" s="89">
        <v>0.0</v>
      </c>
      <c r="AD101" s="89">
        <v>0.0</v>
      </c>
      <c r="AE101" s="89">
        <v>0.0</v>
      </c>
      <c r="AF101" s="89">
        <v>0.0</v>
      </c>
      <c r="AG101" s="89">
        <v>0.0</v>
      </c>
      <c r="AH101" s="89">
        <v>0.0</v>
      </c>
      <c r="AI101" s="89">
        <v>0.0</v>
      </c>
      <c r="AJ101" s="89">
        <v>0.0</v>
      </c>
      <c r="AK101" s="90">
        <v>0.0</v>
      </c>
      <c r="AL101" s="85"/>
      <c r="AM101" s="85">
        <f t="shared" si="6"/>
        <v>0</v>
      </c>
      <c r="AN101" s="86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v>87.0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89">
        <v>0.0</v>
      </c>
      <c r="Q102" s="89">
        <v>0.0</v>
      </c>
      <c r="R102" s="89">
        <v>0.0</v>
      </c>
      <c r="S102" s="89">
        <v>0.0</v>
      </c>
      <c r="T102" s="89">
        <v>0.0</v>
      </c>
      <c r="U102" s="89">
        <v>0.0</v>
      </c>
      <c r="V102" s="89">
        <v>0.0</v>
      </c>
      <c r="W102" s="89">
        <v>0.0</v>
      </c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>
        <v>0.0</v>
      </c>
      <c r="AE102" s="89">
        <v>0.0</v>
      </c>
      <c r="AF102" s="89">
        <v>0.0</v>
      </c>
      <c r="AG102" s="89">
        <v>0.0</v>
      </c>
      <c r="AH102" s="89">
        <v>0.0</v>
      </c>
      <c r="AI102" s="89">
        <v>0.0</v>
      </c>
      <c r="AJ102" s="89">
        <v>0.0</v>
      </c>
      <c r="AK102" s="90">
        <v>0.0</v>
      </c>
      <c r="AL102" s="85"/>
      <c r="AM102" s="85">
        <f t="shared" si="6"/>
        <v>0</v>
      </c>
      <c r="AN102" s="86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v>88.0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89">
        <v>0.0</v>
      </c>
      <c r="Q103" s="89">
        <v>0.0</v>
      </c>
      <c r="R103" s="89">
        <v>0.0</v>
      </c>
      <c r="S103" s="89">
        <v>0.0</v>
      </c>
      <c r="T103" s="89">
        <v>0.0</v>
      </c>
      <c r="U103" s="89">
        <v>0.0</v>
      </c>
      <c r="V103" s="89">
        <v>0.0</v>
      </c>
      <c r="W103" s="89">
        <v>0.0</v>
      </c>
      <c r="X103" s="89">
        <v>0.0</v>
      </c>
      <c r="Y103" s="89">
        <v>0.0</v>
      </c>
      <c r="Z103" s="89">
        <v>0.0</v>
      </c>
      <c r="AA103" s="89">
        <v>0.0</v>
      </c>
      <c r="AB103" s="89">
        <v>0.0</v>
      </c>
      <c r="AC103" s="89">
        <v>0.0</v>
      </c>
      <c r="AD103" s="89">
        <v>0.0</v>
      </c>
      <c r="AE103" s="89">
        <v>0.0</v>
      </c>
      <c r="AF103" s="89">
        <v>0.0</v>
      </c>
      <c r="AG103" s="89">
        <v>0.0</v>
      </c>
      <c r="AH103" s="89">
        <v>0.0</v>
      </c>
      <c r="AI103" s="89">
        <v>0.0</v>
      </c>
      <c r="AJ103" s="89">
        <v>0.0</v>
      </c>
      <c r="AK103" s="90">
        <v>0.0</v>
      </c>
      <c r="AL103" s="85"/>
      <c r="AM103" s="85">
        <f t="shared" si="6"/>
        <v>0</v>
      </c>
      <c r="AN103" s="86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v>89.0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89">
        <v>0.0</v>
      </c>
      <c r="Q104" s="89">
        <v>0.0</v>
      </c>
      <c r="R104" s="89">
        <v>0.0</v>
      </c>
      <c r="S104" s="89">
        <v>0.0</v>
      </c>
      <c r="T104" s="89">
        <v>0.0</v>
      </c>
      <c r="U104" s="89">
        <v>0.0</v>
      </c>
      <c r="V104" s="89">
        <v>0.0</v>
      </c>
      <c r="W104" s="89">
        <v>0.0</v>
      </c>
      <c r="X104" s="89">
        <v>0.0</v>
      </c>
      <c r="Y104" s="89">
        <v>0.0</v>
      </c>
      <c r="Z104" s="89">
        <v>0.0</v>
      </c>
      <c r="AA104" s="89">
        <v>0.0</v>
      </c>
      <c r="AB104" s="89">
        <v>0.0</v>
      </c>
      <c r="AC104" s="89">
        <v>0.0</v>
      </c>
      <c r="AD104" s="89">
        <v>0.0</v>
      </c>
      <c r="AE104" s="89">
        <v>0.0</v>
      </c>
      <c r="AF104" s="89">
        <v>0.0</v>
      </c>
      <c r="AG104" s="89">
        <v>0.0</v>
      </c>
      <c r="AH104" s="89">
        <v>0.0</v>
      </c>
      <c r="AI104" s="89">
        <v>0.0</v>
      </c>
      <c r="AJ104" s="89">
        <v>0.0</v>
      </c>
      <c r="AK104" s="90">
        <v>0.0</v>
      </c>
      <c r="AL104" s="85"/>
      <c r="AM104" s="85">
        <f t="shared" si="6"/>
        <v>0</v>
      </c>
      <c r="AN104" s="86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v>90.0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89">
        <v>0.0</v>
      </c>
      <c r="Q105" s="89">
        <v>0.0</v>
      </c>
      <c r="R105" s="89">
        <v>0.0</v>
      </c>
      <c r="S105" s="89">
        <v>0.0</v>
      </c>
      <c r="T105" s="89">
        <v>0.0</v>
      </c>
      <c r="U105" s="89">
        <v>0.0</v>
      </c>
      <c r="V105" s="89">
        <v>0.0</v>
      </c>
      <c r="W105" s="89">
        <v>0.0</v>
      </c>
      <c r="X105" s="89">
        <v>0.0</v>
      </c>
      <c r="Y105" s="89">
        <v>0.0</v>
      </c>
      <c r="Z105" s="89">
        <v>0.0</v>
      </c>
      <c r="AA105" s="89">
        <v>0.0</v>
      </c>
      <c r="AB105" s="89">
        <v>0.0</v>
      </c>
      <c r="AC105" s="89">
        <v>0.0</v>
      </c>
      <c r="AD105" s="89">
        <v>0.0</v>
      </c>
      <c r="AE105" s="89">
        <v>0.0</v>
      </c>
      <c r="AF105" s="89">
        <v>0.0</v>
      </c>
      <c r="AG105" s="89">
        <v>0.0</v>
      </c>
      <c r="AH105" s="89">
        <v>0.0</v>
      </c>
      <c r="AI105" s="89">
        <v>0.0</v>
      </c>
      <c r="AJ105" s="89">
        <v>0.0</v>
      </c>
      <c r="AK105" s="90">
        <v>0.0</v>
      </c>
      <c r="AL105" s="85"/>
      <c r="AM105" s="85">
        <f t="shared" si="6"/>
        <v>0</v>
      </c>
      <c r="AN105" s="86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v>91.0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89">
        <v>0.0</v>
      </c>
      <c r="Q106" s="89">
        <v>0.0</v>
      </c>
      <c r="R106" s="89">
        <v>0.0</v>
      </c>
      <c r="S106" s="89">
        <v>0.0</v>
      </c>
      <c r="T106" s="89">
        <v>0.0</v>
      </c>
      <c r="U106" s="89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0.0</v>
      </c>
      <c r="AA106" s="89">
        <v>0.0</v>
      </c>
      <c r="AB106" s="89">
        <v>0.0</v>
      </c>
      <c r="AC106" s="89">
        <v>0.0</v>
      </c>
      <c r="AD106" s="89">
        <v>0.0</v>
      </c>
      <c r="AE106" s="89">
        <v>0.0</v>
      </c>
      <c r="AF106" s="89">
        <v>0.0</v>
      </c>
      <c r="AG106" s="89">
        <v>0.0</v>
      </c>
      <c r="AH106" s="89">
        <v>0.0</v>
      </c>
      <c r="AI106" s="89">
        <v>0.0</v>
      </c>
      <c r="AJ106" s="89">
        <v>0.0</v>
      </c>
      <c r="AK106" s="90">
        <v>0.0</v>
      </c>
      <c r="AL106" s="85"/>
      <c r="AM106" s="85">
        <f t="shared" si="6"/>
        <v>0</v>
      </c>
      <c r="AN106" s="86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v>92.0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89">
        <v>0.0</v>
      </c>
      <c r="Q107" s="89">
        <v>0.0</v>
      </c>
      <c r="R107" s="89">
        <v>0.0</v>
      </c>
      <c r="S107" s="89">
        <v>0.0</v>
      </c>
      <c r="T107" s="89">
        <v>0.0</v>
      </c>
      <c r="U107" s="89">
        <v>0.0</v>
      </c>
      <c r="V107" s="89">
        <v>0.0</v>
      </c>
      <c r="W107" s="89">
        <v>0.0</v>
      </c>
      <c r="X107" s="89">
        <v>0.0</v>
      </c>
      <c r="Y107" s="89">
        <v>0.0</v>
      </c>
      <c r="Z107" s="89">
        <v>0.0</v>
      </c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9">
        <v>0.0</v>
      </c>
      <c r="AH107" s="89">
        <v>0.0</v>
      </c>
      <c r="AI107" s="89">
        <v>0.0</v>
      </c>
      <c r="AJ107" s="89">
        <v>0.0</v>
      </c>
      <c r="AK107" s="90">
        <v>0.0</v>
      </c>
      <c r="AL107" s="85"/>
      <c r="AM107" s="85">
        <f t="shared" si="6"/>
        <v>0</v>
      </c>
      <c r="AN107" s="86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v>93.0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89">
        <v>0.0</v>
      </c>
      <c r="Q108" s="89">
        <v>0.0</v>
      </c>
      <c r="R108" s="89">
        <v>0.0</v>
      </c>
      <c r="S108" s="89">
        <v>0.0</v>
      </c>
      <c r="T108" s="89">
        <v>0.0</v>
      </c>
      <c r="U108" s="89">
        <v>0.0</v>
      </c>
      <c r="V108" s="89">
        <v>0.0</v>
      </c>
      <c r="W108" s="89">
        <v>0.0</v>
      </c>
      <c r="X108" s="89">
        <v>0.0</v>
      </c>
      <c r="Y108" s="89">
        <v>0.0</v>
      </c>
      <c r="Z108" s="89">
        <v>0.0</v>
      </c>
      <c r="AA108" s="89">
        <v>0.0</v>
      </c>
      <c r="AB108" s="89">
        <v>0.0</v>
      </c>
      <c r="AC108" s="89">
        <v>0.0</v>
      </c>
      <c r="AD108" s="89">
        <v>0.0</v>
      </c>
      <c r="AE108" s="89">
        <v>0.0</v>
      </c>
      <c r="AF108" s="89">
        <v>0.0</v>
      </c>
      <c r="AG108" s="89">
        <v>0.0</v>
      </c>
      <c r="AH108" s="89">
        <v>0.0</v>
      </c>
      <c r="AI108" s="89">
        <v>0.0</v>
      </c>
      <c r="AJ108" s="89">
        <v>0.0</v>
      </c>
      <c r="AK108" s="90">
        <v>0.0</v>
      </c>
      <c r="AL108" s="85"/>
      <c r="AM108" s="85">
        <f t="shared" si="6"/>
        <v>0</v>
      </c>
      <c r="AN108" s="86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v>94.0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89">
        <v>0.0</v>
      </c>
      <c r="Q109" s="89">
        <v>0.0</v>
      </c>
      <c r="R109" s="89">
        <v>0.0</v>
      </c>
      <c r="S109" s="89">
        <v>0.0</v>
      </c>
      <c r="T109" s="89">
        <v>0.0</v>
      </c>
      <c r="U109" s="89">
        <v>0.0</v>
      </c>
      <c r="V109" s="89">
        <v>0.0</v>
      </c>
      <c r="W109" s="89">
        <v>0.0</v>
      </c>
      <c r="X109" s="89">
        <v>0.0</v>
      </c>
      <c r="Y109" s="89">
        <v>0.0</v>
      </c>
      <c r="Z109" s="89">
        <v>0.0</v>
      </c>
      <c r="AA109" s="89">
        <v>0.0</v>
      </c>
      <c r="AB109" s="89">
        <v>0.0</v>
      </c>
      <c r="AC109" s="89">
        <v>0.0</v>
      </c>
      <c r="AD109" s="89">
        <v>0.0</v>
      </c>
      <c r="AE109" s="89">
        <v>0.0</v>
      </c>
      <c r="AF109" s="89">
        <v>0.0</v>
      </c>
      <c r="AG109" s="89">
        <v>0.0</v>
      </c>
      <c r="AH109" s="89">
        <v>0.0</v>
      </c>
      <c r="AI109" s="89">
        <v>0.0</v>
      </c>
      <c r="AJ109" s="89">
        <v>0.0</v>
      </c>
      <c r="AK109" s="90">
        <v>0.0</v>
      </c>
      <c r="AL109" s="85"/>
      <c r="AM109" s="85">
        <f t="shared" si="6"/>
        <v>0</v>
      </c>
      <c r="AN109" s="86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v>95.0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89">
        <v>0.0</v>
      </c>
      <c r="Q110" s="89">
        <v>0.0</v>
      </c>
      <c r="R110" s="89">
        <v>0.0</v>
      </c>
      <c r="S110" s="89">
        <v>0.0</v>
      </c>
      <c r="T110" s="89">
        <v>0.0</v>
      </c>
      <c r="U110" s="89">
        <v>0.0</v>
      </c>
      <c r="V110" s="89">
        <v>0.0</v>
      </c>
      <c r="W110" s="89">
        <v>0.0</v>
      </c>
      <c r="X110" s="89">
        <v>0.0</v>
      </c>
      <c r="Y110" s="89">
        <v>0.0</v>
      </c>
      <c r="Z110" s="89">
        <v>0.0</v>
      </c>
      <c r="AA110" s="89">
        <v>0.0</v>
      </c>
      <c r="AB110" s="89">
        <v>0.0</v>
      </c>
      <c r="AC110" s="89">
        <v>0.0</v>
      </c>
      <c r="AD110" s="89">
        <v>0.0</v>
      </c>
      <c r="AE110" s="89">
        <v>0.0</v>
      </c>
      <c r="AF110" s="89">
        <v>0.0</v>
      </c>
      <c r="AG110" s="89">
        <v>0.0</v>
      </c>
      <c r="AH110" s="89">
        <v>0.0</v>
      </c>
      <c r="AI110" s="89">
        <v>0.0</v>
      </c>
      <c r="AJ110" s="89">
        <v>0.0</v>
      </c>
      <c r="AK110" s="90">
        <v>0.0</v>
      </c>
      <c r="AL110" s="85"/>
      <c r="AM110" s="85">
        <f t="shared" si="6"/>
        <v>0</v>
      </c>
      <c r="AN110" s="86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v>96.0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89">
        <v>0.0</v>
      </c>
      <c r="Q111" s="89">
        <v>0.0</v>
      </c>
      <c r="R111" s="89">
        <v>0.0</v>
      </c>
      <c r="S111" s="89">
        <v>0.0</v>
      </c>
      <c r="T111" s="89">
        <v>0.0</v>
      </c>
      <c r="U111" s="89">
        <v>0.0</v>
      </c>
      <c r="V111" s="89">
        <v>0.0</v>
      </c>
      <c r="W111" s="89">
        <v>0.0</v>
      </c>
      <c r="X111" s="89">
        <v>0.0</v>
      </c>
      <c r="Y111" s="89">
        <v>0.0</v>
      </c>
      <c r="Z111" s="89">
        <v>0.0</v>
      </c>
      <c r="AA111" s="89">
        <v>0.0</v>
      </c>
      <c r="AB111" s="89">
        <v>0.0</v>
      </c>
      <c r="AC111" s="89">
        <v>0.0</v>
      </c>
      <c r="AD111" s="89">
        <v>0.0</v>
      </c>
      <c r="AE111" s="89">
        <v>0.0</v>
      </c>
      <c r="AF111" s="89">
        <v>0.0</v>
      </c>
      <c r="AG111" s="89">
        <v>0.0</v>
      </c>
      <c r="AH111" s="89">
        <v>0.0</v>
      </c>
      <c r="AI111" s="89">
        <v>0.0</v>
      </c>
      <c r="AJ111" s="89">
        <v>0.0</v>
      </c>
      <c r="AK111" s="90">
        <v>0.0</v>
      </c>
      <c r="AL111" s="85"/>
      <c r="AM111" s="85">
        <f t="shared" si="6"/>
        <v>0</v>
      </c>
      <c r="AN111" s="86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v>97.0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89">
        <v>0.0</v>
      </c>
      <c r="Q112" s="89">
        <v>0.0</v>
      </c>
      <c r="R112" s="89">
        <v>0.0</v>
      </c>
      <c r="S112" s="89">
        <v>0.0</v>
      </c>
      <c r="T112" s="89">
        <v>0.0</v>
      </c>
      <c r="U112" s="89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0.0</v>
      </c>
      <c r="AE112" s="89">
        <v>0.0</v>
      </c>
      <c r="AF112" s="89">
        <v>0.0</v>
      </c>
      <c r="AG112" s="89">
        <v>0.0</v>
      </c>
      <c r="AH112" s="89">
        <v>0.0</v>
      </c>
      <c r="AI112" s="89">
        <v>0.0</v>
      </c>
      <c r="AJ112" s="89">
        <v>0.0</v>
      </c>
      <c r="AK112" s="90">
        <v>0.0</v>
      </c>
      <c r="AL112" s="85"/>
      <c r="AM112" s="85">
        <f t="shared" si="6"/>
        <v>0</v>
      </c>
      <c r="AN112" s="86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v>98.0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89">
        <v>0.0</v>
      </c>
      <c r="Q113" s="89">
        <v>0.0</v>
      </c>
      <c r="R113" s="89">
        <v>0.0</v>
      </c>
      <c r="S113" s="89">
        <v>0.0</v>
      </c>
      <c r="T113" s="89">
        <v>0.0</v>
      </c>
      <c r="U113" s="89">
        <v>0.0</v>
      </c>
      <c r="V113" s="89">
        <v>0.0</v>
      </c>
      <c r="W113" s="89">
        <v>0.0</v>
      </c>
      <c r="X113" s="89">
        <v>0.0</v>
      </c>
      <c r="Y113" s="89">
        <v>0.0</v>
      </c>
      <c r="Z113" s="89">
        <v>0.0</v>
      </c>
      <c r="AA113" s="89">
        <v>0.0</v>
      </c>
      <c r="AB113" s="89">
        <v>0.0</v>
      </c>
      <c r="AC113" s="89">
        <v>0.0</v>
      </c>
      <c r="AD113" s="89">
        <v>0.0</v>
      </c>
      <c r="AE113" s="89">
        <v>0.0</v>
      </c>
      <c r="AF113" s="89">
        <v>0.0</v>
      </c>
      <c r="AG113" s="89">
        <v>0.0</v>
      </c>
      <c r="AH113" s="89">
        <v>0.0</v>
      </c>
      <c r="AI113" s="89">
        <v>0.0</v>
      </c>
      <c r="AJ113" s="89">
        <v>0.0</v>
      </c>
      <c r="AK113" s="90">
        <v>0.0</v>
      </c>
      <c r="AL113" s="85"/>
      <c r="AM113" s="85">
        <f t="shared" si="6"/>
        <v>0</v>
      </c>
      <c r="AN113" s="86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v>99.0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89">
        <v>0.0</v>
      </c>
      <c r="Q114" s="89">
        <v>0.0</v>
      </c>
      <c r="R114" s="89">
        <v>0.0</v>
      </c>
      <c r="S114" s="89">
        <v>0.0</v>
      </c>
      <c r="T114" s="89">
        <v>0.0</v>
      </c>
      <c r="U114" s="89">
        <v>0.0</v>
      </c>
      <c r="V114" s="89">
        <v>0.0</v>
      </c>
      <c r="W114" s="89">
        <v>0.0</v>
      </c>
      <c r="X114" s="89">
        <v>0.0</v>
      </c>
      <c r="Y114" s="89">
        <v>0.0</v>
      </c>
      <c r="Z114" s="89">
        <v>0.0</v>
      </c>
      <c r="AA114" s="89">
        <v>0.0</v>
      </c>
      <c r="AB114" s="89">
        <v>0.0</v>
      </c>
      <c r="AC114" s="89">
        <v>0.0</v>
      </c>
      <c r="AD114" s="89">
        <v>0.0</v>
      </c>
      <c r="AE114" s="89">
        <v>0.0</v>
      </c>
      <c r="AF114" s="89">
        <v>0.0</v>
      </c>
      <c r="AG114" s="89">
        <v>0.0</v>
      </c>
      <c r="AH114" s="89">
        <v>0.0</v>
      </c>
      <c r="AI114" s="89">
        <v>0.0</v>
      </c>
      <c r="AJ114" s="89">
        <v>0.0</v>
      </c>
      <c r="AK114" s="90">
        <v>0.0</v>
      </c>
      <c r="AL114" s="85"/>
      <c r="AM114" s="85">
        <f t="shared" si="6"/>
        <v>0</v>
      </c>
      <c r="AN114" s="86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v>100.0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89">
        <v>0.0</v>
      </c>
      <c r="Q115" s="89">
        <v>0.0</v>
      </c>
      <c r="R115" s="89">
        <v>0.0</v>
      </c>
      <c r="S115" s="89">
        <v>0.0</v>
      </c>
      <c r="T115" s="89">
        <v>0.0</v>
      </c>
      <c r="U115" s="89">
        <v>0.0</v>
      </c>
      <c r="V115" s="89">
        <v>0.0</v>
      </c>
      <c r="W115" s="89">
        <v>0.0</v>
      </c>
      <c r="X115" s="89">
        <v>0.0</v>
      </c>
      <c r="Y115" s="89">
        <v>0.0</v>
      </c>
      <c r="Z115" s="89">
        <v>0.0</v>
      </c>
      <c r="AA115" s="89">
        <v>0.0</v>
      </c>
      <c r="AB115" s="89">
        <v>0.0</v>
      </c>
      <c r="AC115" s="89">
        <v>0.0</v>
      </c>
      <c r="AD115" s="89">
        <v>0.0</v>
      </c>
      <c r="AE115" s="89">
        <v>0.0</v>
      </c>
      <c r="AF115" s="89">
        <v>0.0</v>
      </c>
      <c r="AG115" s="89">
        <v>0.0</v>
      </c>
      <c r="AH115" s="89">
        <v>0.0</v>
      </c>
      <c r="AI115" s="89">
        <v>0.0</v>
      </c>
      <c r="AJ115" s="89">
        <v>0.0</v>
      </c>
      <c r="AK115" s="90">
        <v>0.0</v>
      </c>
      <c r="AL115" s="85"/>
      <c r="AM115" s="85">
        <f t="shared" si="6"/>
        <v>0</v>
      </c>
      <c r="AN115" s="86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v>101.0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89">
        <v>0.0</v>
      </c>
      <c r="Q116" s="89">
        <v>0.0</v>
      </c>
      <c r="R116" s="89">
        <v>0.0</v>
      </c>
      <c r="S116" s="89">
        <v>0.0</v>
      </c>
      <c r="T116" s="89">
        <v>0.0</v>
      </c>
      <c r="U116" s="89">
        <v>0.0</v>
      </c>
      <c r="V116" s="89">
        <v>0.0</v>
      </c>
      <c r="W116" s="89">
        <v>0.0</v>
      </c>
      <c r="X116" s="89">
        <v>0.0</v>
      </c>
      <c r="Y116" s="89">
        <v>0.0</v>
      </c>
      <c r="Z116" s="89">
        <v>0.0</v>
      </c>
      <c r="AA116" s="89">
        <v>0.0</v>
      </c>
      <c r="AB116" s="89">
        <v>0.0</v>
      </c>
      <c r="AC116" s="89">
        <v>0.0</v>
      </c>
      <c r="AD116" s="89">
        <v>0.0</v>
      </c>
      <c r="AE116" s="89">
        <v>0.0</v>
      </c>
      <c r="AF116" s="89">
        <v>0.0</v>
      </c>
      <c r="AG116" s="89">
        <v>0.0</v>
      </c>
      <c r="AH116" s="89">
        <v>0.0</v>
      </c>
      <c r="AI116" s="89">
        <v>0.0</v>
      </c>
      <c r="AJ116" s="89">
        <v>0.0</v>
      </c>
      <c r="AK116" s="90">
        <v>0.0</v>
      </c>
      <c r="AL116" s="85"/>
      <c r="AM116" s="85">
        <f t="shared" si="6"/>
        <v>0</v>
      </c>
      <c r="AN116" s="86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v>102.0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89">
        <v>0.0</v>
      </c>
      <c r="Q117" s="89">
        <v>0.0</v>
      </c>
      <c r="R117" s="89">
        <v>0.0</v>
      </c>
      <c r="S117" s="89">
        <v>0.0</v>
      </c>
      <c r="T117" s="89">
        <v>0.0</v>
      </c>
      <c r="U117" s="89">
        <v>0.0</v>
      </c>
      <c r="V117" s="89">
        <v>0.0</v>
      </c>
      <c r="W117" s="89">
        <v>0.0</v>
      </c>
      <c r="X117" s="89">
        <v>0.0</v>
      </c>
      <c r="Y117" s="89">
        <v>0.0</v>
      </c>
      <c r="Z117" s="89">
        <v>0.0</v>
      </c>
      <c r="AA117" s="89">
        <v>0.0</v>
      </c>
      <c r="AB117" s="89">
        <v>0.0</v>
      </c>
      <c r="AC117" s="89">
        <v>0.0</v>
      </c>
      <c r="AD117" s="89">
        <v>0.0</v>
      </c>
      <c r="AE117" s="89">
        <v>0.0</v>
      </c>
      <c r="AF117" s="89">
        <v>0.0</v>
      </c>
      <c r="AG117" s="89">
        <v>0.0</v>
      </c>
      <c r="AH117" s="89">
        <v>0.0</v>
      </c>
      <c r="AI117" s="89">
        <v>0.0</v>
      </c>
      <c r="AJ117" s="89">
        <v>0.0</v>
      </c>
      <c r="AK117" s="90">
        <v>0.0</v>
      </c>
      <c r="AL117" s="85"/>
      <c r="AM117" s="85">
        <f t="shared" si="6"/>
        <v>0</v>
      </c>
      <c r="AN117" s="86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v>103.0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89">
        <v>0.0</v>
      </c>
      <c r="Q118" s="89">
        <v>0.0</v>
      </c>
      <c r="R118" s="89">
        <v>0.0</v>
      </c>
      <c r="S118" s="89">
        <v>0.0</v>
      </c>
      <c r="T118" s="89">
        <v>0.0</v>
      </c>
      <c r="U118" s="89">
        <v>0.0</v>
      </c>
      <c r="V118" s="89">
        <v>0.0</v>
      </c>
      <c r="W118" s="89">
        <v>0.0</v>
      </c>
      <c r="X118" s="89">
        <v>0.0</v>
      </c>
      <c r="Y118" s="89">
        <v>0.0</v>
      </c>
      <c r="Z118" s="89">
        <v>0.0</v>
      </c>
      <c r="AA118" s="89">
        <v>0.0</v>
      </c>
      <c r="AB118" s="89">
        <v>0.0</v>
      </c>
      <c r="AC118" s="89">
        <v>0.0</v>
      </c>
      <c r="AD118" s="89">
        <v>0.0</v>
      </c>
      <c r="AE118" s="89">
        <v>0.0</v>
      </c>
      <c r="AF118" s="89">
        <v>0.0</v>
      </c>
      <c r="AG118" s="89">
        <v>0.0</v>
      </c>
      <c r="AH118" s="89">
        <v>0.0</v>
      </c>
      <c r="AI118" s="89">
        <v>0.0</v>
      </c>
      <c r="AJ118" s="89">
        <v>0.0</v>
      </c>
      <c r="AK118" s="90">
        <v>0.0</v>
      </c>
      <c r="AL118" s="85"/>
      <c r="AM118" s="85">
        <f t="shared" si="6"/>
        <v>0</v>
      </c>
      <c r="AN118" s="86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v>104.0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89">
        <v>0.0</v>
      </c>
      <c r="Q119" s="89">
        <v>0.0</v>
      </c>
      <c r="R119" s="89">
        <v>0.0</v>
      </c>
      <c r="S119" s="89">
        <v>0.0</v>
      </c>
      <c r="T119" s="89">
        <v>0.0</v>
      </c>
      <c r="U119" s="89">
        <v>0.0</v>
      </c>
      <c r="V119" s="89">
        <v>0.0</v>
      </c>
      <c r="W119" s="89">
        <v>0.0</v>
      </c>
      <c r="X119" s="89">
        <v>0.0</v>
      </c>
      <c r="Y119" s="89">
        <v>0.0</v>
      </c>
      <c r="Z119" s="89">
        <v>0.0</v>
      </c>
      <c r="AA119" s="89">
        <v>0.0</v>
      </c>
      <c r="AB119" s="89">
        <v>0.0</v>
      </c>
      <c r="AC119" s="89">
        <v>0.0</v>
      </c>
      <c r="AD119" s="89">
        <v>0.0</v>
      </c>
      <c r="AE119" s="89">
        <v>0.0</v>
      </c>
      <c r="AF119" s="89">
        <v>0.0</v>
      </c>
      <c r="AG119" s="89">
        <v>0.0</v>
      </c>
      <c r="AH119" s="89">
        <v>0.0</v>
      </c>
      <c r="AI119" s="89">
        <v>0.0</v>
      </c>
      <c r="AJ119" s="89">
        <v>0.0</v>
      </c>
      <c r="AK119" s="90">
        <v>0.0</v>
      </c>
      <c r="AL119" s="85"/>
      <c r="AM119" s="85">
        <f t="shared" si="6"/>
        <v>0</v>
      </c>
      <c r="AN119" s="86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v>105.0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89">
        <v>0.0</v>
      </c>
      <c r="Q120" s="89">
        <v>0.0</v>
      </c>
      <c r="R120" s="89">
        <v>0.0</v>
      </c>
      <c r="S120" s="89">
        <v>0.0</v>
      </c>
      <c r="T120" s="89">
        <v>0.0</v>
      </c>
      <c r="U120" s="89">
        <v>0.0</v>
      </c>
      <c r="V120" s="89">
        <v>0.0</v>
      </c>
      <c r="W120" s="89">
        <v>0.0</v>
      </c>
      <c r="X120" s="89">
        <v>0.0</v>
      </c>
      <c r="Y120" s="89">
        <v>0.0</v>
      </c>
      <c r="Z120" s="89">
        <v>0.0</v>
      </c>
      <c r="AA120" s="89">
        <v>0.0</v>
      </c>
      <c r="AB120" s="89">
        <v>0.0</v>
      </c>
      <c r="AC120" s="89">
        <v>0.0</v>
      </c>
      <c r="AD120" s="89">
        <v>0.0</v>
      </c>
      <c r="AE120" s="89">
        <v>0.0</v>
      </c>
      <c r="AF120" s="89">
        <v>0.0</v>
      </c>
      <c r="AG120" s="89">
        <v>0.0</v>
      </c>
      <c r="AH120" s="89">
        <v>0.0</v>
      </c>
      <c r="AI120" s="89">
        <v>0.0</v>
      </c>
      <c r="AJ120" s="89">
        <v>0.0</v>
      </c>
      <c r="AK120" s="90">
        <v>0.0</v>
      </c>
      <c r="AL120" s="85"/>
      <c r="AM120" s="85">
        <f t="shared" si="6"/>
        <v>0</v>
      </c>
      <c r="AN120" s="86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v>106.0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89">
        <v>0.0</v>
      </c>
      <c r="Q121" s="89">
        <v>0.0</v>
      </c>
      <c r="R121" s="89">
        <v>0.0</v>
      </c>
      <c r="S121" s="89">
        <v>0.0</v>
      </c>
      <c r="T121" s="89">
        <v>0.0</v>
      </c>
      <c r="U121" s="89">
        <v>0.0</v>
      </c>
      <c r="V121" s="89">
        <v>0.0</v>
      </c>
      <c r="W121" s="89">
        <v>0.0</v>
      </c>
      <c r="X121" s="89">
        <v>0.0</v>
      </c>
      <c r="Y121" s="89">
        <v>0.0</v>
      </c>
      <c r="Z121" s="89">
        <v>0.0</v>
      </c>
      <c r="AA121" s="89">
        <v>0.0</v>
      </c>
      <c r="AB121" s="89">
        <v>0.0</v>
      </c>
      <c r="AC121" s="89">
        <v>0.0</v>
      </c>
      <c r="AD121" s="89">
        <v>0.0</v>
      </c>
      <c r="AE121" s="89">
        <v>0.0</v>
      </c>
      <c r="AF121" s="89">
        <v>0.0</v>
      </c>
      <c r="AG121" s="89">
        <v>0.0</v>
      </c>
      <c r="AH121" s="89">
        <v>0.0</v>
      </c>
      <c r="AI121" s="89">
        <v>0.0</v>
      </c>
      <c r="AJ121" s="89">
        <v>0.0</v>
      </c>
      <c r="AK121" s="90">
        <v>0.0</v>
      </c>
      <c r="AL121" s="85"/>
      <c r="AM121" s="85">
        <f t="shared" si="6"/>
        <v>0</v>
      </c>
      <c r="AN121" s="86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v>107.0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89">
        <v>0.0</v>
      </c>
      <c r="Q122" s="89">
        <v>0.0</v>
      </c>
      <c r="R122" s="89">
        <v>0.0</v>
      </c>
      <c r="S122" s="89">
        <v>0.0</v>
      </c>
      <c r="T122" s="89">
        <v>0.0</v>
      </c>
      <c r="U122" s="89">
        <v>0.0</v>
      </c>
      <c r="V122" s="89">
        <v>0.0</v>
      </c>
      <c r="W122" s="89">
        <v>0.0</v>
      </c>
      <c r="X122" s="89">
        <v>0.0</v>
      </c>
      <c r="Y122" s="89">
        <v>0.0</v>
      </c>
      <c r="Z122" s="89">
        <v>0.0</v>
      </c>
      <c r="AA122" s="89">
        <v>0.0</v>
      </c>
      <c r="AB122" s="89">
        <v>0.0</v>
      </c>
      <c r="AC122" s="89">
        <v>0.0</v>
      </c>
      <c r="AD122" s="89">
        <v>0.0</v>
      </c>
      <c r="AE122" s="89">
        <v>0.0</v>
      </c>
      <c r="AF122" s="89">
        <v>0.0</v>
      </c>
      <c r="AG122" s="89">
        <v>0.0</v>
      </c>
      <c r="AH122" s="89">
        <v>0.0</v>
      </c>
      <c r="AI122" s="89">
        <v>0.0</v>
      </c>
      <c r="AJ122" s="89">
        <v>0.0</v>
      </c>
      <c r="AK122" s="90">
        <v>0.0</v>
      </c>
      <c r="AL122" s="85"/>
      <c r="AM122" s="85">
        <f t="shared" si="6"/>
        <v>0</v>
      </c>
      <c r="AN122" s="86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v>108.0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89">
        <v>0.0</v>
      </c>
      <c r="Q123" s="89">
        <v>0.0</v>
      </c>
      <c r="R123" s="89">
        <v>0.0</v>
      </c>
      <c r="S123" s="89">
        <v>0.0</v>
      </c>
      <c r="T123" s="89">
        <v>0.0</v>
      </c>
      <c r="U123" s="89">
        <v>0.0</v>
      </c>
      <c r="V123" s="89">
        <v>0.0</v>
      </c>
      <c r="W123" s="89">
        <v>0.0</v>
      </c>
      <c r="X123" s="89">
        <v>0.0</v>
      </c>
      <c r="Y123" s="89">
        <v>0.0</v>
      </c>
      <c r="Z123" s="89">
        <v>0.0</v>
      </c>
      <c r="AA123" s="89">
        <v>0.0</v>
      </c>
      <c r="AB123" s="89">
        <v>0.0</v>
      </c>
      <c r="AC123" s="89">
        <v>0.0</v>
      </c>
      <c r="AD123" s="89">
        <v>0.0</v>
      </c>
      <c r="AE123" s="89">
        <v>0.0</v>
      </c>
      <c r="AF123" s="89">
        <v>0.0</v>
      </c>
      <c r="AG123" s="89">
        <v>0.0</v>
      </c>
      <c r="AH123" s="89">
        <v>0.0</v>
      </c>
      <c r="AI123" s="89">
        <v>0.0</v>
      </c>
      <c r="AJ123" s="89">
        <v>0.0</v>
      </c>
      <c r="AK123" s="90">
        <v>0.0</v>
      </c>
      <c r="AL123" s="85"/>
      <c r="AM123" s="85">
        <f t="shared" si="6"/>
        <v>0</v>
      </c>
      <c r="AN123" s="86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v>109.0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89">
        <v>0.0</v>
      </c>
      <c r="Q124" s="89">
        <v>0.0</v>
      </c>
      <c r="R124" s="89">
        <v>0.0</v>
      </c>
      <c r="S124" s="89">
        <v>0.0</v>
      </c>
      <c r="T124" s="89">
        <v>0.0</v>
      </c>
      <c r="U124" s="89">
        <v>0.0</v>
      </c>
      <c r="V124" s="89">
        <v>0.0</v>
      </c>
      <c r="W124" s="89">
        <v>0.0</v>
      </c>
      <c r="X124" s="89">
        <v>0.0</v>
      </c>
      <c r="Y124" s="89">
        <v>0.0</v>
      </c>
      <c r="Z124" s="89">
        <v>0.0</v>
      </c>
      <c r="AA124" s="89">
        <v>0.0</v>
      </c>
      <c r="AB124" s="89">
        <v>0.0</v>
      </c>
      <c r="AC124" s="89">
        <v>0.0</v>
      </c>
      <c r="AD124" s="89">
        <v>0.0</v>
      </c>
      <c r="AE124" s="89">
        <v>0.0</v>
      </c>
      <c r="AF124" s="89">
        <v>0.0</v>
      </c>
      <c r="AG124" s="89">
        <v>0.0</v>
      </c>
      <c r="AH124" s="89">
        <v>0.0</v>
      </c>
      <c r="AI124" s="89">
        <v>0.0</v>
      </c>
      <c r="AJ124" s="89">
        <v>0.0</v>
      </c>
      <c r="AK124" s="90">
        <v>0.0</v>
      </c>
      <c r="AL124" s="85"/>
      <c r="AM124" s="85">
        <f t="shared" si="6"/>
        <v>0</v>
      </c>
      <c r="AN124" s="86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v>110.0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89">
        <v>0.0</v>
      </c>
      <c r="Q125" s="89">
        <v>0.0</v>
      </c>
      <c r="R125" s="89">
        <v>0.0</v>
      </c>
      <c r="S125" s="89">
        <v>0.0</v>
      </c>
      <c r="T125" s="89">
        <v>0.0</v>
      </c>
      <c r="U125" s="89">
        <v>0.0</v>
      </c>
      <c r="V125" s="89">
        <v>0.0</v>
      </c>
      <c r="W125" s="89">
        <v>0.0</v>
      </c>
      <c r="X125" s="89">
        <v>0.0</v>
      </c>
      <c r="Y125" s="89">
        <v>0.0</v>
      </c>
      <c r="Z125" s="89">
        <v>0.0</v>
      </c>
      <c r="AA125" s="89">
        <v>0.0</v>
      </c>
      <c r="AB125" s="89">
        <v>0.0</v>
      </c>
      <c r="AC125" s="89">
        <v>0.0</v>
      </c>
      <c r="AD125" s="89">
        <v>0.0</v>
      </c>
      <c r="AE125" s="89">
        <v>0.0</v>
      </c>
      <c r="AF125" s="89">
        <v>0.0</v>
      </c>
      <c r="AG125" s="89">
        <v>0.0</v>
      </c>
      <c r="AH125" s="89">
        <v>0.0</v>
      </c>
      <c r="AI125" s="89">
        <v>0.0</v>
      </c>
      <c r="AJ125" s="89">
        <v>0.0</v>
      </c>
      <c r="AK125" s="90">
        <v>0.0</v>
      </c>
      <c r="AL125" s="85"/>
      <c r="AM125" s="85">
        <f t="shared" si="6"/>
        <v>0</v>
      </c>
      <c r="AN125" s="86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v>111.0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89">
        <v>0.0</v>
      </c>
      <c r="Q126" s="89">
        <v>0.0</v>
      </c>
      <c r="R126" s="89">
        <v>0.0</v>
      </c>
      <c r="S126" s="89">
        <v>0.0</v>
      </c>
      <c r="T126" s="89">
        <v>0.0</v>
      </c>
      <c r="U126" s="89">
        <v>0.0</v>
      </c>
      <c r="V126" s="89">
        <v>0.0</v>
      </c>
      <c r="W126" s="89">
        <v>0.0</v>
      </c>
      <c r="X126" s="89">
        <v>0.0</v>
      </c>
      <c r="Y126" s="89">
        <v>0.0</v>
      </c>
      <c r="Z126" s="89">
        <v>0.0</v>
      </c>
      <c r="AA126" s="89">
        <v>0.0</v>
      </c>
      <c r="AB126" s="89">
        <v>0.0</v>
      </c>
      <c r="AC126" s="89">
        <v>0.0</v>
      </c>
      <c r="AD126" s="89">
        <v>0.0</v>
      </c>
      <c r="AE126" s="89">
        <v>0.0</v>
      </c>
      <c r="AF126" s="89">
        <v>0.0</v>
      </c>
      <c r="AG126" s="89">
        <v>0.0</v>
      </c>
      <c r="AH126" s="89">
        <v>0.0</v>
      </c>
      <c r="AI126" s="89">
        <v>0.0</v>
      </c>
      <c r="AJ126" s="89">
        <v>0.0</v>
      </c>
      <c r="AK126" s="90">
        <v>0.0</v>
      </c>
      <c r="AL126" s="85"/>
      <c r="AM126" s="85">
        <f t="shared" si="6"/>
        <v>0</v>
      </c>
      <c r="AN126" s="86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v>112.0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89">
        <v>0.0</v>
      </c>
      <c r="Q127" s="89">
        <v>0.0</v>
      </c>
      <c r="R127" s="89">
        <v>0.0</v>
      </c>
      <c r="S127" s="89">
        <v>0.0</v>
      </c>
      <c r="T127" s="89">
        <v>0.0</v>
      </c>
      <c r="U127" s="89">
        <v>0.0</v>
      </c>
      <c r="V127" s="89">
        <v>0.0</v>
      </c>
      <c r="W127" s="89">
        <v>0.0</v>
      </c>
      <c r="X127" s="89">
        <v>0.0</v>
      </c>
      <c r="Y127" s="89">
        <v>0.0</v>
      </c>
      <c r="Z127" s="89">
        <v>0.0</v>
      </c>
      <c r="AA127" s="89">
        <v>0.0</v>
      </c>
      <c r="AB127" s="89">
        <v>0.0</v>
      </c>
      <c r="AC127" s="89">
        <v>0.0</v>
      </c>
      <c r="AD127" s="89">
        <v>0.0</v>
      </c>
      <c r="AE127" s="89">
        <v>0.0</v>
      </c>
      <c r="AF127" s="89">
        <v>0.0</v>
      </c>
      <c r="AG127" s="89">
        <v>0.0</v>
      </c>
      <c r="AH127" s="89">
        <v>0.0</v>
      </c>
      <c r="AI127" s="89">
        <v>0.0</v>
      </c>
      <c r="AJ127" s="89">
        <v>0.0</v>
      </c>
      <c r="AK127" s="90">
        <v>0.0</v>
      </c>
      <c r="AL127" s="85"/>
      <c r="AM127" s="85">
        <f t="shared" si="6"/>
        <v>0</v>
      </c>
      <c r="AN127" s="86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v>113.0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89">
        <v>0.0</v>
      </c>
      <c r="Q128" s="89">
        <v>0.0</v>
      </c>
      <c r="R128" s="89">
        <v>0.0</v>
      </c>
      <c r="S128" s="89">
        <v>0.0</v>
      </c>
      <c r="T128" s="89">
        <v>0.0</v>
      </c>
      <c r="U128" s="89">
        <v>0.0</v>
      </c>
      <c r="V128" s="89">
        <v>0.0</v>
      </c>
      <c r="W128" s="89">
        <v>0.0</v>
      </c>
      <c r="X128" s="89">
        <v>0.0</v>
      </c>
      <c r="Y128" s="89">
        <v>0.0</v>
      </c>
      <c r="Z128" s="89">
        <v>0.0</v>
      </c>
      <c r="AA128" s="89">
        <v>0.0</v>
      </c>
      <c r="AB128" s="89">
        <v>0.0</v>
      </c>
      <c r="AC128" s="89">
        <v>0.0</v>
      </c>
      <c r="AD128" s="89">
        <v>0.0</v>
      </c>
      <c r="AE128" s="89">
        <v>0.0</v>
      </c>
      <c r="AF128" s="89">
        <v>0.0</v>
      </c>
      <c r="AG128" s="89">
        <v>0.0</v>
      </c>
      <c r="AH128" s="89">
        <v>0.0</v>
      </c>
      <c r="AI128" s="89">
        <v>0.0</v>
      </c>
      <c r="AJ128" s="89">
        <v>0.0</v>
      </c>
      <c r="AK128" s="90">
        <v>0.0</v>
      </c>
      <c r="AL128" s="85"/>
      <c r="AM128" s="85">
        <f t="shared" si="6"/>
        <v>0</v>
      </c>
      <c r="AN128" s="86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v>114.0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89">
        <v>0.0</v>
      </c>
      <c r="Q129" s="89">
        <v>0.0</v>
      </c>
      <c r="R129" s="89">
        <v>0.0</v>
      </c>
      <c r="S129" s="89">
        <v>0.0</v>
      </c>
      <c r="T129" s="89">
        <v>0.0</v>
      </c>
      <c r="U129" s="89">
        <v>0.0</v>
      </c>
      <c r="V129" s="89">
        <v>0.0</v>
      </c>
      <c r="W129" s="89">
        <v>0.0</v>
      </c>
      <c r="X129" s="89">
        <v>0.0</v>
      </c>
      <c r="Y129" s="89">
        <v>0.0</v>
      </c>
      <c r="Z129" s="89">
        <v>0.0</v>
      </c>
      <c r="AA129" s="89">
        <v>0.0</v>
      </c>
      <c r="AB129" s="89">
        <v>0.0</v>
      </c>
      <c r="AC129" s="89">
        <v>0.0</v>
      </c>
      <c r="AD129" s="89">
        <v>0.0</v>
      </c>
      <c r="AE129" s="89">
        <v>0.0</v>
      </c>
      <c r="AF129" s="89">
        <v>0.0</v>
      </c>
      <c r="AG129" s="89">
        <v>0.0</v>
      </c>
      <c r="AH129" s="89">
        <v>0.0</v>
      </c>
      <c r="AI129" s="89">
        <v>0.0</v>
      </c>
      <c r="AJ129" s="89">
        <v>0.0</v>
      </c>
      <c r="AK129" s="90">
        <v>0.0</v>
      </c>
      <c r="AL129" s="85"/>
      <c r="AM129" s="85">
        <f t="shared" si="6"/>
        <v>0</v>
      </c>
      <c r="AN129" s="86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v>115.0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89">
        <v>0.0</v>
      </c>
      <c r="Q130" s="89">
        <v>0.0</v>
      </c>
      <c r="R130" s="89">
        <v>0.0</v>
      </c>
      <c r="S130" s="89">
        <v>0.0</v>
      </c>
      <c r="T130" s="89">
        <v>0.0</v>
      </c>
      <c r="U130" s="89">
        <v>0.0</v>
      </c>
      <c r="V130" s="89">
        <v>0.0</v>
      </c>
      <c r="W130" s="89">
        <v>0.0</v>
      </c>
      <c r="X130" s="89">
        <v>0.0</v>
      </c>
      <c r="Y130" s="89">
        <v>0.0</v>
      </c>
      <c r="Z130" s="89">
        <v>0.0</v>
      </c>
      <c r="AA130" s="89">
        <v>0.0</v>
      </c>
      <c r="AB130" s="89">
        <v>0.0</v>
      </c>
      <c r="AC130" s="89">
        <v>0.0</v>
      </c>
      <c r="AD130" s="89">
        <v>0.0</v>
      </c>
      <c r="AE130" s="89">
        <v>0.0</v>
      </c>
      <c r="AF130" s="89">
        <v>0.0</v>
      </c>
      <c r="AG130" s="89">
        <v>0.0</v>
      </c>
      <c r="AH130" s="89">
        <v>0.0</v>
      </c>
      <c r="AI130" s="89">
        <v>0.0</v>
      </c>
      <c r="AJ130" s="89">
        <v>0.0</v>
      </c>
      <c r="AK130" s="90">
        <v>0.0</v>
      </c>
      <c r="AL130" s="85"/>
      <c r="AM130" s="85">
        <f t="shared" si="6"/>
        <v>0</v>
      </c>
      <c r="AN130" s="86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v>116.0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89">
        <v>0.0</v>
      </c>
      <c r="Q131" s="89">
        <v>0.0</v>
      </c>
      <c r="R131" s="89">
        <v>0.0</v>
      </c>
      <c r="S131" s="89">
        <v>0.0</v>
      </c>
      <c r="T131" s="89">
        <v>0.0</v>
      </c>
      <c r="U131" s="89">
        <v>0.0</v>
      </c>
      <c r="V131" s="89">
        <v>0.0</v>
      </c>
      <c r="W131" s="89">
        <v>0.0</v>
      </c>
      <c r="X131" s="89">
        <v>0.0</v>
      </c>
      <c r="Y131" s="89">
        <v>0.0</v>
      </c>
      <c r="Z131" s="89">
        <v>0.0</v>
      </c>
      <c r="AA131" s="89">
        <v>0.0</v>
      </c>
      <c r="AB131" s="89">
        <v>0.0</v>
      </c>
      <c r="AC131" s="89">
        <v>0.0</v>
      </c>
      <c r="AD131" s="89">
        <v>0.0</v>
      </c>
      <c r="AE131" s="89">
        <v>0.0</v>
      </c>
      <c r="AF131" s="89">
        <v>0.0</v>
      </c>
      <c r="AG131" s="89">
        <v>0.0</v>
      </c>
      <c r="AH131" s="89">
        <v>0.0</v>
      </c>
      <c r="AI131" s="89">
        <v>0.0</v>
      </c>
      <c r="AJ131" s="89">
        <v>0.0</v>
      </c>
      <c r="AK131" s="90">
        <v>0.0</v>
      </c>
      <c r="AL131" s="85"/>
      <c r="AM131" s="85">
        <f t="shared" si="6"/>
        <v>0</v>
      </c>
      <c r="AN131" s="86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v>117.0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89">
        <v>0.0</v>
      </c>
      <c r="Q132" s="89">
        <v>0.0</v>
      </c>
      <c r="R132" s="89">
        <v>0.0</v>
      </c>
      <c r="S132" s="89">
        <v>0.0</v>
      </c>
      <c r="T132" s="89">
        <v>0.0</v>
      </c>
      <c r="U132" s="89">
        <v>0.0</v>
      </c>
      <c r="V132" s="89">
        <v>0.0</v>
      </c>
      <c r="W132" s="89">
        <v>0.0</v>
      </c>
      <c r="X132" s="89">
        <v>0.0</v>
      </c>
      <c r="Y132" s="89">
        <v>0.0</v>
      </c>
      <c r="Z132" s="89">
        <v>0.0</v>
      </c>
      <c r="AA132" s="89">
        <v>0.0</v>
      </c>
      <c r="AB132" s="89">
        <v>0.0</v>
      </c>
      <c r="AC132" s="89">
        <v>0.0</v>
      </c>
      <c r="AD132" s="89">
        <v>0.0</v>
      </c>
      <c r="AE132" s="89">
        <v>0.0</v>
      </c>
      <c r="AF132" s="89">
        <v>0.0</v>
      </c>
      <c r="AG132" s="89">
        <v>0.0</v>
      </c>
      <c r="AH132" s="89">
        <v>0.0</v>
      </c>
      <c r="AI132" s="89">
        <v>0.0</v>
      </c>
      <c r="AJ132" s="89">
        <v>0.0</v>
      </c>
      <c r="AK132" s="90">
        <v>0.0</v>
      </c>
      <c r="AL132" s="85"/>
      <c r="AM132" s="85">
        <f t="shared" si="6"/>
        <v>0</v>
      </c>
      <c r="AN132" s="86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v>118.0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89">
        <v>0.0</v>
      </c>
      <c r="Q133" s="89">
        <v>0.0</v>
      </c>
      <c r="R133" s="89">
        <v>0.0</v>
      </c>
      <c r="S133" s="89">
        <v>0.0</v>
      </c>
      <c r="T133" s="89">
        <v>0.0</v>
      </c>
      <c r="U133" s="89">
        <v>0.0</v>
      </c>
      <c r="V133" s="89">
        <v>0.0</v>
      </c>
      <c r="W133" s="89">
        <v>0.0</v>
      </c>
      <c r="X133" s="89">
        <v>0.0</v>
      </c>
      <c r="Y133" s="89">
        <v>0.0</v>
      </c>
      <c r="Z133" s="89">
        <v>0.0</v>
      </c>
      <c r="AA133" s="89">
        <v>0.0</v>
      </c>
      <c r="AB133" s="89">
        <v>0.0</v>
      </c>
      <c r="AC133" s="89">
        <v>0.0</v>
      </c>
      <c r="AD133" s="89">
        <v>0.0</v>
      </c>
      <c r="AE133" s="89">
        <v>0.0</v>
      </c>
      <c r="AF133" s="89">
        <v>0.0</v>
      </c>
      <c r="AG133" s="89">
        <v>0.0</v>
      </c>
      <c r="AH133" s="89">
        <v>0.0</v>
      </c>
      <c r="AI133" s="89">
        <v>0.0</v>
      </c>
      <c r="AJ133" s="89">
        <v>0.0</v>
      </c>
      <c r="AK133" s="90">
        <v>0.0</v>
      </c>
      <c r="AL133" s="85"/>
      <c r="AM133" s="85">
        <f t="shared" si="6"/>
        <v>0</v>
      </c>
      <c r="AN133" s="86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v>119.0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89">
        <v>0.0</v>
      </c>
      <c r="Q134" s="89">
        <v>0.0</v>
      </c>
      <c r="R134" s="89">
        <v>0.0</v>
      </c>
      <c r="S134" s="89">
        <v>0.0</v>
      </c>
      <c r="T134" s="89">
        <v>0.0</v>
      </c>
      <c r="U134" s="89">
        <v>0.0</v>
      </c>
      <c r="V134" s="89">
        <v>0.0</v>
      </c>
      <c r="W134" s="89">
        <v>0.0</v>
      </c>
      <c r="X134" s="89">
        <v>0.0</v>
      </c>
      <c r="Y134" s="89">
        <v>0.0</v>
      </c>
      <c r="Z134" s="89">
        <v>0.0</v>
      </c>
      <c r="AA134" s="89">
        <v>0.0</v>
      </c>
      <c r="AB134" s="89">
        <v>0.0</v>
      </c>
      <c r="AC134" s="89">
        <v>0.0</v>
      </c>
      <c r="AD134" s="89">
        <v>0.0</v>
      </c>
      <c r="AE134" s="89">
        <v>0.0</v>
      </c>
      <c r="AF134" s="89">
        <v>0.0</v>
      </c>
      <c r="AG134" s="89">
        <v>0.0</v>
      </c>
      <c r="AH134" s="89">
        <v>0.0</v>
      </c>
      <c r="AI134" s="89">
        <v>0.0</v>
      </c>
      <c r="AJ134" s="89">
        <v>0.0</v>
      </c>
      <c r="AK134" s="90">
        <v>0.0</v>
      </c>
      <c r="AL134" s="85"/>
      <c r="AM134" s="85">
        <f t="shared" si="6"/>
        <v>0</v>
      </c>
      <c r="AN134" s="86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v>120.0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89">
        <v>0.0</v>
      </c>
      <c r="Q135" s="89">
        <v>0.0</v>
      </c>
      <c r="R135" s="89">
        <v>0.0</v>
      </c>
      <c r="S135" s="89">
        <v>0.0</v>
      </c>
      <c r="T135" s="89">
        <v>0.0</v>
      </c>
      <c r="U135" s="89">
        <v>0.0</v>
      </c>
      <c r="V135" s="89">
        <v>0.0</v>
      </c>
      <c r="W135" s="89">
        <v>0.0</v>
      </c>
      <c r="X135" s="89">
        <v>0.0</v>
      </c>
      <c r="Y135" s="89">
        <v>0.0</v>
      </c>
      <c r="Z135" s="89">
        <v>0.0</v>
      </c>
      <c r="AA135" s="89">
        <v>0.0</v>
      </c>
      <c r="AB135" s="89">
        <v>0.0</v>
      </c>
      <c r="AC135" s="89">
        <v>0.0</v>
      </c>
      <c r="AD135" s="89">
        <v>0.0</v>
      </c>
      <c r="AE135" s="89">
        <v>0.0</v>
      </c>
      <c r="AF135" s="89">
        <v>0.0</v>
      </c>
      <c r="AG135" s="89">
        <v>0.0</v>
      </c>
      <c r="AH135" s="89">
        <v>0.0</v>
      </c>
      <c r="AI135" s="89">
        <v>0.0</v>
      </c>
      <c r="AJ135" s="89">
        <v>0.0</v>
      </c>
      <c r="AK135" s="90">
        <v>0.0</v>
      </c>
      <c r="AL135" s="85"/>
      <c r="AM135" s="85">
        <f t="shared" si="6"/>
        <v>0</v>
      </c>
      <c r="AN135" s="86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v>121.0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89">
        <v>0.0</v>
      </c>
      <c r="Q136" s="89">
        <v>0.0</v>
      </c>
      <c r="R136" s="89">
        <v>0.0</v>
      </c>
      <c r="S136" s="89">
        <v>0.0</v>
      </c>
      <c r="T136" s="89">
        <v>0.0</v>
      </c>
      <c r="U136" s="89">
        <v>0.0</v>
      </c>
      <c r="V136" s="89">
        <v>0.0</v>
      </c>
      <c r="W136" s="89">
        <v>0.0</v>
      </c>
      <c r="X136" s="89">
        <v>0.0</v>
      </c>
      <c r="Y136" s="89">
        <v>0.0</v>
      </c>
      <c r="Z136" s="89">
        <v>0.0</v>
      </c>
      <c r="AA136" s="89">
        <v>0.0</v>
      </c>
      <c r="AB136" s="89">
        <v>0.0</v>
      </c>
      <c r="AC136" s="89">
        <v>0.0</v>
      </c>
      <c r="AD136" s="89">
        <v>0.0</v>
      </c>
      <c r="AE136" s="89">
        <v>0.0</v>
      </c>
      <c r="AF136" s="89">
        <v>0.0</v>
      </c>
      <c r="AG136" s="89">
        <v>0.0</v>
      </c>
      <c r="AH136" s="89">
        <v>0.0</v>
      </c>
      <c r="AI136" s="89">
        <v>0.0</v>
      </c>
      <c r="AJ136" s="89">
        <v>0.0</v>
      </c>
      <c r="AK136" s="90">
        <v>0.0</v>
      </c>
      <c r="AL136" s="85"/>
      <c r="AM136" s="85">
        <f t="shared" si="6"/>
        <v>0</v>
      </c>
      <c r="AN136" s="86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v>122.0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89">
        <v>0.0</v>
      </c>
      <c r="Q137" s="89">
        <v>0.0</v>
      </c>
      <c r="R137" s="89">
        <v>0.0</v>
      </c>
      <c r="S137" s="89">
        <v>0.0</v>
      </c>
      <c r="T137" s="89">
        <v>0.0</v>
      </c>
      <c r="U137" s="89">
        <v>0.0</v>
      </c>
      <c r="V137" s="89">
        <v>0.0</v>
      </c>
      <c r="W137" s="89">
        <v>0.0</v>
      </c>
      <c r="X137" s="89">
        <v>0.0</v>
      </c>
      <c r="Y137" s="89">
        <v>0.0</v>
      </c>
      <c r="Z137" s="89">
        <v>0.0</v>
      </c>
      <c r="AA137" s="89">
        <v>0.0</v>
      </c>
      <c r="AB137" s="89">
        <v>0.0</v>
      </c>
      <c r="AC137" s="89">
        <v>0.0</v>
      </c>
      <c r="AD137" s="89">
        <v>0.0</v>
      </c>
      <c r="AE137" s="89">
        <v>0.0</v>
      </c>
      <c r="AF137" s="89">
        <v>0.0</v>
      </c>
      <c r="AG137" s="89">
        <v>0.0</v>
      </c>
      <c r="AH137" s="89">
        <v>0.0</v>
      </c>
      <c r="AI137" s="89">
        <v>0.0</v>
      </c>
      <c r="AJ137" s="89">
        <v>0.0</v>
      </c>
      <c r="AK137" s="90">
        <v>0.0</v>
      </c>
      <c r="AL137" s="85"/>
      <c r="AM137" s="85">
        <f t="shared" si="6"/>
        <v>0</v>
      </c>
      <c r="AN137" s="86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v>123.0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89">
        <v>0.0</v>
      </c>
      <c r="Q138" s="89">
        <v>0.0</v>
      </c>
      <c r="R138" s="89">
        <v>0.0</v>
      </c>
      <c r="S138" s="89">
        <v>0.0</v>
      </c>
      <c r="T138" s="89">
        <v>0.0</v>
      </c>
      <c r="U138" s="89">
        <v>0.0</v>
      </c>
      <c r="V138" s="89">
        <v>0.0</v>
      </c>
      <c r="W138" s="89">
        <v>0.0</v>
      </c>
      <c r="X138" s="89">
        <v>0.0</v>
      </c>
      <c r="Y138" s="89">
        <v>0.0</v>
      </c>
      <c r="Z138" s="89">
        <v>0.0</v>
      </c>
      <c r="AA138" s="89">
        <v>0.0</v>
      </c>
      <c r="AB138" s="89">
        <v>0.0</v>
      </c>
      <c r="AC138" s="89">
        <v>0.0</v>
      </c>
      <c r="AD138" s="89">
        <v>0.0</v>
      </c>
      <c r="AE138" s="89">
        <v>0.0</v>
      </c>
      <c r="AF138" s="89">
        <v>0.0</v>
      </c>
      <c r="AG138" s="89">
        <v>0.0</v>
      </c>
      <c r="AH138" s="89">
        <v>0.0</v>
      </c>
      <c r="AI138" s="89">
        <v>0.0</v>
      </c>
      <c r="AJ138" s="89">
        <v>0.0</v>
      </c>
      <c r="AK138" s="90">
        <v>0.0</v>
      </c>
      <c r="AL138" s="85"/>
      <c r="AM138" s="85">
        <f t="shared" si="6"/>
        <v>0</v>
      </c>
      <c r="AN138" s="86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v>124.0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89">
        <v>0.0</v>
      </c>
      <c r="Q139" s="89">
        <v>0.0</v>
      </c>
      <c r="R139" s="89">
        <v>0.0</v>
      </c>
      <c r="S139" s="89">
        <v>0.0</v>
      </c>
      <c r="T139" s="89">
        <v>0.0</v>
      </c>
      <c r="U139" s="89">
        <v>0.0</v>
      </c>
      <c r="V139" s="89">
        <v>0.0</v>
      </c>
      <c r="W139" s="89">
        <v>0.0</v>
      </c>
      <c r="X139" s="89">
        <v>0.0</v>
      </c>
      <c r="Y139" s="89">
        <v>0.0</v>
      </c>
      <c r="Z139" s="89">
        <v>0.0</v>
      </c>
      <c r="AA139" s="89">
        <v>0.0</v>
      </c>
      <c r="AB139" s="89">
        <v>0.0</v>
      </c>
      <c r="AC139" s="89">
        <v>0.0</v>
      </c>
      <c r="AD139" s="89">
        <v>0.0</v>
      </c>
      <c r="AE139" s="89">
        <v>0.0</v>
      </c>
      <c r="AF139" s="89">
        <v>0.0</v>
      </c>
      <c r="AG139" s="89">
        <v>0.0</v>
      </c>
      <c r="AH139" s="89">
        <v>0.0</v>
      </c>
      <c r="AI139" s="89">
        <v>0.0</v>
      </c>
      <c r="AJ139" s="89">
        <v>0.0</v>
      </c>
      <c r="AK139" s="90">
        <v>0.0</v>
      </c>
      <c r="AL139" s="85"/>
      <c r="AM139" s="85">
        <f t="shared" si="6"/>
        <v>0</v>
      </c>
      <c r="AN139" s="86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v>125.0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89">
        <v>0.0</v>
      </c>
      <c r="Q140" s="89">
        <v>0.0</v>
      </c>
      <c r="R140" s="89">
        <v>0.0</v>
      </c>
      <c r="S140" s="89">
        <v>0.0</v>
      </c>
      <c r="T140" s="89">
        <v>0.0</v>
      </c>
      <c r="U140" s="89">
        <v>0.0</v>
      </c>
      <c r="V140" s="89">
        <v>0.0</v>
      </c>
      <c r="W140" s="89">
        <v>0.0</v>
      </c>
      <c r="X140" s="89">
        <v>0.0</v>
      </c>
      <c r="Y140" s="89">
        <v>0.0</v>
      </c>
      <c r="Z140" s="89">
        <v>0.0</v>
      </c>
      <c r="AA140" s="89">
        <v>0.0</v>
      </c>
      <c r="AB140" s="89">
        <v>0.0</v>
      </c>
      <c r="AC140" s="89">
        <v>0.0</v>
      </c>
      <c r="AD140" s="89">
        <v>0.0</v>
      </c>
      <c r="AE140" s="89">
        <v>0.0</v>
      </c>
      <c r="AF140" s="89">
        <v>0.0</v>
      </c>
      <c r="AG140" s="89">
        <v>0.0</v>
      </c>
      <c r="AH140" s="89">
        <v>0.0</v>
      </c>
      <c r="AI140" s="89">
        <v>0.0</v>
      </c>
      <c r="AJ140" s="89">
        <v>0.0</v>
      </c>
      <c r="AK140" s="90">
        <v>0.0</v>
      </c>
      <c r="AL140" s="85"/>
      <c r="AM140" s="85">
        <f t="shared" si="6"/>
        <v>0</v>
      </c>
      <c r="AN140" s="86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v>126.0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89">
        <v>0.0</v>
      </c>
      <c r="Q141" s="89">
        <v>0.0</v>
      </c>
      <c r="R141" s="89">
        <v>0.0</v>
      </c>
      <c r="S141" s="89">
        <v>0.0</v>
      </c>
      <c r="T141" s="89">
        <v>0.0</v>
      </c>
      <c r="U141" s="89">
        <v>0.0</v>
      </c>
      <c r="V141" s="89">
        <v>0.0</v>
      </c>
      <c r="W141" s="89">
        <v>0.0</v>
      </c>
      <c r="X141" s="89">
        <v>0.0</v>
      </c>
      <c r="Y141" s="89">
        <v>0.0</v>
      </c>
      <c r="Z141" s="89">
        <v>0.0</v>
      </c>
      <c r="AA141" s="89">
        <v>0.0</v>
      </c>
      <c r="AB141" s="89">
        <v>0.0</v>
      </c>
      <c r="AC141" s="89">
        <v>0.0</v>
      </c>
      <c r="AD141" s="89">
        <v>0.0</v>
      </c>
      <c r="AE141" s="89">
        <v>0.0</v>
      </c>
      <c r="AF141" s="89">
        <v>0.0</v>
      </c>
      <c r="AG141" s="89">
        <v>0.0</v>
      </c>
      <c r="AH141" s="89">
        <v>0.0</v>
      </c>
      <c r="AI141" s="89">
        <v>0.0</v>
      </c>
      <c r="AJ141" s="89">
        <v>0.0</v>
      </c>
      <c r="AK141" s="90">
        <v>0.0</v>
      </c>
      <c r="AL141" s="85"/>
      <c r="AM141" s="85">
        <f t="shared" si="6"/>
        <v>0</v>
      </c>
      <c r="AN141" s="86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v>127.0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89">
        <v>0.0</v>
      </c>
      <c r="Q142" s="89">
        <v>0.0</v>
      </c>
      <c r="R142" s="89">
        <v>0.0</v>
      </c>
      <c r="S142" s="89">
        <v>0.0</v>
      </c>
      <c r="T142" s="89">
        <v>0.0</v>
      </c>
      <c r="U142" s="89">
        <v>0.0</v>
      </c>
      <c r="V142" s="89">
        <v>0.0</v>
      </c>
      <c r="W142" s="89">
        <v>0.0</v>
      </c>
      <c r="X142" s="89">
        <v>0.0</v>
      </c>
      <c r="Y142" s="89">
        <v>0.0</v>
      </c>
      <c r="Z142" s="89">
        <v>0.0</v>
      </c>
      <c r="AA142" s="89">
        <v>0.0</v>
      </c>
      <c r="AB142" s="89">
        <v>0.0</v>
      </c>
      <c r="AC142" s="89">
        <v>0.0</v>
      </c>
      <c r="AD142" s="89">
        <v>0.0</v>
      </c>
      <c r="AE142" s="89">
        <v>0.0</v>
      </c>
      <c r="AF142" s="89">
        <v>0.0</v>
      </c>
      <c r="AG142" s="89">
        <v>0.0</v>
      </c>
      <c r="AH142" s="89">
        <v>0.0</v>
      </c>
      <c r="AI142" s="89">
        <v>0.0</v>
      </c>
      <c r="AJ142" s="89">
        <v>0.0</v>
      </c>
      <c r="AK142" s="90">
        <v>0.0</v>
      </c>
      <c r="AL142" s="85"/>
      <c r="AM142" s="85">
        <f t="shared" si="6"/>
        <v>0</v>
      </c>
      <c r="AN142" s="86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v>128.0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89">
        <v>0.0</v>
      </c>
      <c r="Q143" s="89">
        <v>0.0</v>
      </c>
      <c r="R143" s="89">
        <v>0.0</v>
      </c>
      <c r="S143" s="89">
        <v>0.0</v>
      </c>
      <c r="T143" s="89">
        <v>0.0</v>
      </c>
      <c r="U143" s="89">
        <v>0.0</v>
      </c>
      <c r="V143" s="89">
        <v>0.0</v>
      </c>
      <c r="W143" s="89">
        <v>0.0</v>
      </c>
      <c r="X143" s="89">
        <v>0.0</v>
      </c>
      <c r="Y143" s="89">
        <v>0.0</v>
      </c>
      <c r="Z143" s="89">
        <v>0.0</v>
      </c>
      <c r="AA143" s="89">
        <v>0.0</v>
      </c>
      <c r="AB143" s="89">
        <v>0.0</v>
      </c>
      <c r="AC143" s="89">
        <v>0.0</v>
      </c>
      <c r="AD143" s="89">
        <v>0.0</v>
      </c>
      <c r="AE143" s="89">
        <v>0.0</v>
      </c>
      <c r="AF143" s="89">
        <v>0.0</v>
      </c>
      <c r="AG143" s="89">
        <v>0.0</v>
      </c>
      <c r="AH143" s="89">
        <v>0.0</v>
      </c>
      <c r="AI143" s="89">
        <v>0.0</v>
      </c>
      <c r="AJ143" s="89">
        <v>0.0</v>
      </c>
      <c r="AK143" s="90">
        <v>0.0</v>
      </c>
      <c r="AL143" s="85"/>
      <c r="AM143" s="85">
        <f t="shared" si="6"/>
        <v>0</v>
      </c>
      <c r="AN143" s="86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v>129.0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89">
        <v>0.0</v>
      </c>
      <c r="Q144" s="89">
        <v>0.0</v>
      </c>
      <c r="R144" s="89">
        <v>0.0</v>
      </c>
      <c r="S144" s="89">
        <v>0.0</v>
      </c>
      <c r="T144" s="89">
        <v>0.0</v>
      </c>
      <c r="U144" s="89">
        <v>0.0</v>
      </c>
      <c r="V144" s="89">
        <v>0.0</v>
      </c>
      <c r="W144" s="89">
        <v>0.0</v>
      </c>
      <c r="X144" s="89">
        <v>0.0</v>
      </c>
      <c r="Y144" s="89">
        <v>0.0</v>
      </c>
      <c r="Z144" s="89">
        <v>0.0</v>
      </c>
      <c r="AA144" s="89">
        <v>0.0</v>
      </c>
      <c r="AB144" s="89">
        <v>0.0</v>
      </c>
      <c r="AC144" s="89">
        <v>0.0</v>
      </c>
      <c r="AD144" s="89">
        <v>0.0</v>
      </c>
      <c r="AE144" s="89">
        <v>0.0</v>
      </c>
      <c r="AF144" s="89">
        <v>0.0</v>
      </c>
      <c r="AG144" s="89">
        <v>0.0</v>
      </c>
      <c r="AH144" s="89">
        <v>0.0</v>
      </c>
      <c r="AI144" s="89">
        <v>0.0</v>
      </c>
      <c r="AJ144" s="89">
        <v>0.0</v>
      </c>
      <c r="AK144" s="90">
        <v>0.0</v>
      </c>
      <c r="AL144" s="85"/>
      <c r="AM144" s="85">
        <f t="shared" si="6"/>
        <v>0</v>
      </c>
      <c r="AN144" s="86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v>130.0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89">
        <v>0.0</v>
      </c>
      <c r="Q145" s="89">
        <v>0.0</v>
      </c>
      <c r="R145" s="89">
        <v>0.0</v>
      </c>
      <c r="S145" s="89">
        <v>0.0</v>
      </c>
      <c r="T145" s="89">
        <v>0.0</v>
      </c>
      <c r="U145" s="89">
        <v>0.0</v>
      </c>
      <c r="V145" s="89">
        <v>0.0</v>
      </c>
      <c r="W145" s="89">
        <v>0.0</v>
      </c>
      <c r="X145" s="89">
        <v>0.0</v>
      </c>
      <c r="Y145" s="89">
        <v>0.0</v>
      </c>
      <c r="Z145" s="89">
        <v>0.0</v>
      </c>
      <c r="AA145" s="89">
        <v>0.0</v>
      </c>
      <c r="AB145" s="89">
        <v>0.0</v>
      </c>
      <c r="AC145" s="89">
        <v>0.0</v>
      </c>
      <c r="AD145" s="89">
        <v>0.0</v>
      </c>
      <c r="AE145" s="89">
        <v>0.0</v>
      </c>
      <c r="AF145" s="89">
        <v>0.0</v>
      </c>
      <c r="AG145" s="89">
        <v>0.0</v>
      </c>
      <c r="AH145" s="89">
        <v>0.0</v>
      </c>
      <c r="AI145" s="89">
        <v>0.0</v>
      </c>
      <c r="AJ145" s="89">
        <v>0.0</v>
      </c>
      <c r="AK145" s="90">
        <v>0.0</v>
      </c>
      <c r="AL145" s="85"/>
      <c r="AM145" s="85">
        <f t="shared" si="6"/>
        <v>0</v>
      </c>
      <c r="AN145" s="86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v>131.0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89">
        <v>0.0</v>
      </c>
      <c r="Q146" s="89">
        <v>0.0</v>
      </c>
      <c r="R146" s="89">
        <v>0.0</v>
      </c>
      <c r="S146" s="89">
        <v>0.0</v>
      </c>
      <c r="T146" s="89">
        <v>0.0</v>
      </c>
      <c r="U146" s="89">
        <v>0.0</v>
      </c>
      <c r="V146" s="89">
        <v>0.0</v>
      </c>
      <c r="W146" s="89">
        <v>0.0</v>
      </c>
      <c r="X146" s="89">
        <v>0.0</v>
      </c>
      <c r="Y146" s="89">
        <v>0.0</v>
      </c>
      <c r="Z146" s="89">
        <v>0.0</v>
      </c>
      <c r="AA146" s="89">
        <v>0.0</v>
      </c>
      <c r="AB146" s="89">
        <v>0.0</v>
      </c>
      <c r="AC146" s="89">
        <v>0.0</v>
      </c>
      <c r="AD146" s="89">
        <v>0.0</v>
      </c>
      <c r="AE146" s="89">
        <v>0.0</v>
      </c>
      <c r="AF146" s="89">
        <v>0.0</v>
      </c>
      <c r="AG146" s="89">
        <v>0.0</v>
      </c>
      <c r="AH146" s="89">
        <v>0.0</v>
      </c>
      <c r="AI146" s="89">
        <v>0.0</v>
      </c>
      <c r="AJ146" s="89">
        <v>0.0</v>
      </c>
      <c r="AK146" s="90">
        <v>0.0</v>
      </c>
      <c r="AL146" s="85"/>
      <c r="AM146" s="85">
        <f t="shared" si="6"/>
        <v>0</v>
      </c>
      <c r="AN146" s="86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v>132.0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89">
        <v>0.0</v>
      </c>
      <c r="Q147" s="89">
        <v>0.0</v>
      </c>
      <c r="R147" s="89">
        <v>0.0</v>
      </c>
      <c r="S147" s="89">
        <v>0.0</v>
      </c>
      <c r="T147" s="89">
        <v>0.0</v>
      </c>
      <c r="U147" s="89">
        <v>0.0</v>
      </c>
      <c r="V147" s="89">
        <v>0.0</v>
      </c>
      <c r="W147" s="89">
        <v>0.0</v>
      </c>
      <c r="X147" s="89">
        <v>0.0</v>
      </c>
      <c r="Y147" s="89">
        <v>0.0</v>
      </c>
      <c r="Z147" s="89">
        <v>0.0</v>
      </c>
      <c r="AA147" s="89">
        <v>0.0</v>
      </c>
      <c r="AB147" s="89">
        <v>0.0</v>
      </c>
      <c r="AC147" s="89">
        <v>0.0</v>
      </c>
      <c r="AD147" s="89">
        <v>0.0</v>
      </c>
      <c r="AE147" s="89">
        <v>0.0</v>
      </c>
      <c r="AF147" s="89">
        <v>0.0</v>
      </c>
      <c r="AG147" s="89">
        <v>0.0</v>
      </c>
      <c r="AH147" s="89">
        <v>0.0</v>
      </c>
      <c r="AI147" s="89">
        <v>0.0</v>
      </c>
      <c r="AJ147" s="89">
        <v>0.0</v>
      </c>
      <c r="AK147" s="90">
        <v>0.0</v>
      </c>
      <c r="AL147" s="85"/>
      <c r="AM147" s="85">
        <f t="shared" si="6"/>
        <v>0</v>
      </c>
      <c r="AN147" s="86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v>133.0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89">
        <v>0.0</v>
      </c>
      <c r="Q148" s="89">
        <v>0.0</v>
      </c>
      <c r="R148" s="89">
        <v>0.0</v>
      </c>
      <c r="S148" s="89">
        <v>0.0</v>
      </c>
      <c r="T148" s="89">
        <v>0.0</v>
      </c>
      <c r="U148" s="89">
        <v>0.0</v>
      </c>
      <c r="V148" s="89">
        <v>0.0</v>
      </c>
      <c r="W148" s="89">
        <v>0.0</v>
      </c>
      <c r="X148" s="89">
        <v>0.0</v>
      </c>
      <c r="Y148" s="89">
        <v>0.0</v>
      </c>
      <c r="Z148" s="89">
        <v>0.0</v>
      </c>
      <c r="AA148" s="89">
        <v>0.0</v>
      </c>
      <c r="AB148" s="89">
        <v>0.0</v>
      </c>
      <c r="AC148" s="89">
        <v>0.0</v>
      </c>
      <c r="AD148" s="89">
        <v>0.0</v>
      </c>
      <c r="AE148" s="89">
        <v>0.0</v>
      </c>
      <c r="AF148" s="89">
        <v>0.0</v>
      </c>
      <c r="AG148" s="89">
        <v>0.0</v>
      </c>
      <c r="AH148" s="89">
        <v>0.0</v>
      </c>
      <c r="AI148" s="89">
        <v>0.0</v>
      </c>
      <c r="AJ148" s="89">
        <v>0.0</v>
      </c>
      <c r="AK148" s="90">
        <v>0.0</v>
      </c>
      <c r="AL148" s="85"/>
      <c r="AM148" s="85">
        <f t="shared" si="6"/>
        <v>0</v>
      </c>
      <c r="AN148" s="86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v>134.0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89">
        <v>0.0</v>
      </c>
      <c r="Q149" s="89">
        <v>0.0</v>
      </c>
      <c r="R149" s="89">
        <v>0.0</v>
      </c>
      <c r="S149" s="89">
        <v>0.0</v>
      </c>
      <c r="T149" s="89">
        <v>0.0</v>
      </c>
      <c r="U149" s="89">
        <v>0.0</v>
      </c>
      <c r="V149" s="89">
        <v>0.0</v>
      </c>
      <c r="W149" s="89">
        <v>0.0</v>
      </c>
      <c r="X149" s="89">
        <v>0.0</v>
      </c>
      <c r="Y149" s="89">
        <v>0.0</v>
      </c>
      <c r="Z149" s="89">
        <v>0.0</v>
      </c>
      <c r="AA149" s="89">
        <v>0.0</v>
      </c>
      <c r="AB149" s="89">
        <v>0.0</v>
      </c>
      <c r="AC149" s="89">
        <v>0.0</v>
      </c>
      <c r="AD149" s="89">
        <v>0.0</v>
      </c>
      <c r="AE149" s="89">
        <v>0.0</v>
      </c>
      <c r="AF149" s="89">
        <v>0.0</v>
      </c>
      <c r="AG149" s="89">
        <v>0.0</v>
      </c>
      <c r="AH149" s="89">
        <v>0.0</v>
      </c>
      <c r="AI149" s="89">
        <v>0.0</v>
      </c>
      <c r="AJ149" s="89">
        <v>0.0</v>
      </c>
      <c r="AK149" s="90">
        <v>0.0</v>
      </c>
      <c r="AL149" s="85"/>
      <c r="AM149" s="85">
        <f t="shared" si="6"/>
        <v>0</v>
      </c>
      <c r="AN149" s="86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v>135.0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89">
        <v>0.0</v>
      </c>
      <c r="Q150" s="89">
        <v>0.0</v>
      </c>
      <c r="R150" s="89">
        <v>0.0</v>
      </c>
      <c r="S150" s="89">
        <v>0.0</v>
      </c>
      <c r="T150" s="89">
        <v>0.0</v>
      </c>
      <c r="U150" s="89">
        <v>0.0</v>
      </c>
      <c r="V150" s="89">
        <v>0.0</v>
      </c>
      <c r="W150" s="89">
        <v>0.0</v>
      </c>
      <c r="X150" s="89">
        <v>0.0</v>
      </c>
      <c r="Y150" s="89">
        <v>0.0</v>
      </c>
      <c r="Z150" s="89">
        <v>0.0</v>
      </c>
      <c r="AA150" s="89">
        <v>0.0</v>
      </c>
      <c r="AB150" s="89">
        <v>0.0</v>
      </c>
      <c r="AC150" s="89">
        <v>0.0</v>
      </c>
      <c r="AD150" s="89">
        <v>0.0</v>
      </c>
      <c r="AE150" s="89">
        <v>0.0</v>
      </c>
      <c r="AF150" s="89">
        <v>0.0</v>
      </c>
      <c r="AG150" s="89">
        <v>0.0</v>
      </c>
      <c r="AH150" s="89">
        <v>0.0</v>
      </c>
      <c r="AI150" s="89">
        <v>0.0</v>
      </c>
      <c r="AJ150" s="89">
        <v>0.0</v>
      </c>
      <c r="AK150" s="90">
        <v>0.0</v>
      </c>
      <c r="AL150" s="85"/>
      <c r="AM150" s="85">
        <f t="shared" si="6"/>
        <v>0</v>
      </c>
      <c r="AN150" s="86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v>136.0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89">
        <v>0.0</v>
      </c>
      <c r="Q151" s="89">
        <v>0.0</v>
      </c>
      <c r="R151" s="89">
        <v>0.0</v>
      </c>
      <c r="S151" s="89">
        <v>0.0</v>
      </c>
      <c r="T151" s="89">
        <v>0.0</v>
      </c>
      <c r="U151" s="89">
        <v>0.0</v>
      </c>
      <c r="V151" s="89">
        <v>0.0</v>
      </c>
      <c r="W151" s="89">
        <v>0.0</v>
      </c>
      <c r="X151" s="89">
        <v>0.0</v>
      </c>
      <c r="Y151" s="89">
        <v>0.0</v>
      </c>
      <c r="Z151" s="89">
        <v>0.0</v>
      </c>
      <c r="AA151" s="89">
        <v>0.0</v>
      </c>
      <c r="AB151" s="89">
        <v>0.0</v>
      </c>
      <c r="AC151" s="89">
        <v>0.0</v>
      </c>
      <c r="AD151" s="89">
        <v>0.0</v>
      </c>
      <c r="AE151" s="89">
        <v>0.0</v>
      </c>
      <c r="AF151" s="89">
        <v>0.0</v>
      </c>
      <c r="AG151" s="89">
        <v>0.0</v>
      </c>
      <c r="AH151" s="89">
        <v>0.0</v>
      </c>
      <c r="AI151" s="89">
        <v>0.0</v>
      </c>
      <c r="AJ151" s="89">
        <v>0.0</v>
      </c>
      <c r="AK151" s="90">
        <v>0.0</v>
      </c>
      <c r="AL151" s="85"/>
      <c r="AM151" s="85">
        <f t="shared" si="6"/>
        <v>0</v>
      </c>
      <c r="AN151" s="86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v>137.0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89">
        <v>0.0</v>
      </c>
      <c r="Q152" s="89">
        <v>0.0</v>
      </c>
      <c r="R152" s="89">
        <v>0.0</v>
      </c>
      <c r="S152" s="89">
        <v>0.0</v>
      </c>
      <c r="T152" s="89">
        <v>0.0</v>
      </c>
      <c r="U152" s="89">
        <v>0.0</v>
      </c>
      <c r="V152" s="89">
        <v>0.0</v>
      </c>
      <c r="W152" s="89">
        <v>0.0</v>
      </c>
      <c r="X152" s="89">
        <v>0.0</v>
      </c>
      <c r="Y152" s="89">
        <v>0.0</v>
      </c>
      <c r="Z152" s="89">
        <v>0.0</v>
      </c>
      <c r="AA152" s="89">
        <v>0.0</v>
      </c>
      <c r="AB152" s="89">
        <v>0.0</v>
      </c>
      <c r="AC152" s="89">
        <v>0.0</v>
      </c>
      <c r="AD152" s="89">
        <v>0.0</v>
      </c>
      <c r="AE152" s="89">
        <v>0.0</v>
      </c>
      <c r="AF152" s="89">
        <v>0.0</v>
      </c>
      <c r="AG152" s="89">
        <v>0.0</v>
      </c>
      <c r="AH152" s="89">
        <v>0.0</v>
      </c>
      <c r="AI152" s="89">
        <v>0.0</v>
      </c>
      <c r="AJ152" s="89">
        <v>0.0</v>
      </c>
      <c r="AK152" s="90">
        <v>0.0</v>
      </c>
      <c r="AL152" s="85"/>
      <c r="AM152" s="85">
        <f t="shared" si="6"/>
        <v>0</v>
      </c>
      <c r="AN152" s="86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v>138.0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89">
        <v>0.0</v>
      </c>
      <c r="Q153" s="89">
        <v>0.0</v>
      </c>
      <c r="R153" s="89">
        <v>0.0</v>
      </c>
      <c r="S153" s="89">
        <v>0.0</v>
      </c>
      <c r="T153" s="89">
        <v>0.0</v>
      </c>
      <c r="U153" s="89">
        <v>0.0</v>
      </c>
      <c r="V153" s="89">
        <v>0.0</v>
      </c>
      <c r="W153" s="89">
        <v>0.0</v>
      </c>
      <c r="X153" s="89">
        <v>0.0</v>
      </c>
      <c r="Y153" s="89">
        <v>0.0</v>
      </c>
      <c r="Z153" s="89">
        <v>0.0</v>
      </c>
      <c r="AA153" s="89">
        <v>0.0</v>
      </c>
      <c r="AB153" s="89">
        <v>0.0</v>
      </c>
      <c r="AC153" s="89">
        <v>0.0</v>
      </c>
      <c r="AD153" s="89">
        <v>0.0</v>
      </c>
      <c r="AE153" s="89">
        <v>0.0</v>
      </c>
      <c r="AF153" s="89">
        <v>0.0</v>
      </c>
      <c r="AG153" s="89">
        <v>0.0</v>
      </c>
      <c r="AH153" s="89">
        <v>0.0</v>
      </c>
      <c r="AI153" s="89">
        <v>0.0</v>
      </c>
      <c r="AJ153" s="89">
        <v>0.0</v>
      </c>
      <c r="AK153" s="90">
        <v>0.0</v>
      </c>
      <c r="AL153" s="85"/>
      <c r="AM153" s="85">
        <f t="shared" si="6"/>
        <v>0</v>
      </c>
      <c r="AN153" s="86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v>139.0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89">
        <v>0.0</v>
      </c>
      <c r="Q154" s="89">
        <v>0.0</v>
      </c>
      <c r="R154" s="89">
        <v>0.0</v>
      </c>
      <c r="S154" s="89">
        <v>0.0</v>
      </c>
      <c r="T154" s="89">
        <v>0.0</v>
      </c>
      <c r="U154" s="89">
        <v>0.0</v>
      </c>
      <c r="V154" s="89">
        <v>0.0</v>
      </c>
      <c r="W154" s="89">
        <v>0.0</v>
      </c>
      <c r="X154" s="89">
        <v>0.0</v>
      </c>
      <c r="Y154" s="89">
        <v>0.0</v>
      </c>
      <c r="Z154" s="89">
        <v>0.0</v>
      </c>
      <c r="AA154" s="89">
        <v>0.0</v>
      </c>
      <c r="AB154" s="89">
        <v>0.0</v>
      </c>
      <c r="AC154" s="89">
        <v>0.0</v>
      </c>
      <c r="AD154" s="89">
        <v>0.0</v>
      </c>
      <c r="AE154" s="89">
        <v>0.0</v>
      </c>
      <c r="AF154" s="89">
        <v>0.0</v>
      </c>
      <c r="AG154" s="89">
        <v>0.0</v>
      </c>
      <c r="AH154" s="89">
        <v>0.0</v>
      </c>
      <c r="AI154" s="89">
        <v>0.0</v>
      </c>
      <c r="AJ154" s="89">
        <v>0.0</v>
      </c>
      <c r="AK154" s="90">
        <v>0.0</v>
      </c>
      <c r="AL154" s="85"/>
      <c r="AM154" s="85">
        <f t="shared" si="6"/>
        <v>0</v>
      </c>
      <c r="AN154" s="86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v>140.0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89">
        <v>0.0</v>
      </c>
      <c r="Q155" s="89">
        <v>0.0</v>
      </c>
      <c r="R155" s="89">
        <v>0.0</v>
      </c>
      <c r="S155" s="89">
        <v>0.0</v>
      </c>
      <c r="T155" s="89">
        <v>0.0</v>
      </c>
      <c r="U155" s="89">
        <v>0.0</v>
      </c>
      <c r="V155" s="89">
        <v>0.0</v>
      </c>
      <c r="W155" s="89">
        <v>0.0</v>
      </c>
      <c r="X155" s="89">
        <v>0.0</v>
      </c>
      <c r="Y155" s="89">
        <v>0.0</v>
      </c>
      <c r="Z155" s="89">
        <v>0.0</v>
      </c>
      <c r="AA155" s="89">
        <v>0.0</v>
      </c>
      <c r="AB155" s="89">
        <v>0.0</v>
      </c>
      <c r="AC155" s="89">
        <v>0.0</v>
      </c>
      <c r="AD155" s="89">
        <v>0.0</v>
      </c>
      <c r="AE155" s="89">
        <v>0.0</v>
      </c>
      <c r="AF155" s="89">
        <v>0.0</v>
      </c>
      <c r="AG155" s="89">
        <v>0.0</v>
      </c>
      <c r="AH155" s="89">
        <v>0.0</v>
      </c>
      <c r="AI155" s="89">
        <v>0.0</v>
      </c>
      <c r="AJ155" s="89">
        <v>0.0</v>
      </c>
      <c r="AK155" s="90">
        <v>0.0</v>
      </c>
      <c r="AL155" s="85"/>
      <c r="AM155" s="85">
        <f t="shared" si="6"/>
        <v>0</v>
      </c>
      <c r="AN155" s="86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v>141.0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89">
        <v>0.0</v>
      </c>
      <c r="Q156" s="89">
        <v>0.0</v>
      </c>
      <c r="R156" s="89">
        <v>0.0</v>
      </c>
      <c r="S156" s="89">
        <v>0.0</v>
      </c>
      <c r="T156" s="89">
        <v>0.0</v>
      </c>
      <c r="U156" s="89">
        <v>0.0</v>
      </c>
      <c r="V156" s="89">
        <v>0.0</v>
      </c>
      <c r="W156" s="89">
        <v>0.0</v>
      </c>
      <c r="X156" s="89">
        <v>0.0</v>
      </c>
      <c r="Y156" s="89">
        <v>0.0</v>
      </c>
      <c r="Z156" s="89">
        <v>0.0</v>
      </c>
      <c r="AA156" s="89">
        <v>0.0</v>
      </c>
      <c r="AB156" s="89">
        <v>0.0</v>
      </c>
      <c r="AC156" s="89">
        <v>0.0</v>
      </c>
      <c r="AD156" s="89">
        <v>0.0</v>
      </c>
      <c r="AE156" s="89">
        <v>0.0</v>
      </c>
      <c r="AF156" s="89">
        <v>0.0</v>
      </c>
      <c r="AG156" s="89">
        <v>0.0</v>
      </c>
      <c r="AH156" s="89">
        <v>0.0</v>
      </c>
      <c r="AI156" s="89">
        <v>0.0</v>
      </c>
      <c r="AJ156" s="89">
        <v>0.0</v>
      </c>
      <c r="AK156" s="90">
        <v>0.0</v>
      </c>
      <c r="AL156" s="85"/>
      <c r="AM156" s="85">
        <f t="shared" si="6"/>
        <v>0</v>
      </c>
      <c r="AN156" s="86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v>142.0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89">
        <v>0.0</v>
      </c>
      <c r="Q157" s="89">
        <v>0.0</v>
      </c>
      <c r="R157" s="89">
        <v>0.0</v>
      </c>
      <c r="S157" s="89">
        <v>0.0</v>
      </c>
      <c r="T157" s="89">
        <v>0.0</v>
      </c>
      <c r="U157" s="89">
        <v>0.0</v>
      </c>
      <c r="V157" s="89">
        <v>0.0</v>
      </c>
      <c r="W157" s="89">
        <v>0.0</v>
      </c>
      <c r="X157" s="89">
        <v>0.0</v>
      </c>
      <c r="Y157" s="89">
        <v>0.0</v>
      </c>
      <c r="Z157" s="89">
        <v>0.0</v>
      </c>
      <c r="AA157" s="89">
        <v>0.0</v>
      </c>
      <c r="AB157" s="89">
        <v>0.0</v>
      </c>
      <c r="AC157" s="89">
        <v>0.0</v>
      </c>
      <c r="AD157" s="89">
        <v>0.0</v>
      </c>
      <c r="AE157" s="89">
        <v>0.0</v>
      </c>
      <c r="AF157" s="89">
        <v>0.0</v>
      </c>
      <c r="AG157" s="89">
        <v>0.0</v>
      </c>
      <c r="AH157" s="89">
        <v>0.0</v>
      </c>
      <c r="AI157" s="89">
        <v>0.0</v>
      </c>
      <c r="AJ157" s="89">
        <v>0.0</v>
      </c>
      <c r="AK157" s="90">
        <v>0.0</v>
      </c>
      <c r="AL157" s="85"/>
      <c r="AM157" s="85">
        <f t="shared" si="6"/>
        <v>0</v>
      </c>
      <c r="AN157" s="86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v>143.0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89">
        <v>0.0</v>
      </c>
      <c r="Q158" s="89">
        <v>0.0</v>
      </c>
      <c r="R158" s="89">
        <v>0.0</v>
      </c>
      <c r="S158" s="89">
        <v>0.0</v>
      </c>
      <c r="T158" s="89">
        <v>0.0</v>
      </c>
      <c r="U158" s="89">
        <v>0.0</v>
      </c>
      <c r="V158" s="89">
        <v>0.0</v>
      </c>
      <c r="W158" s="89">
        <v>0.0</v>
      </c>
      <c r="X158" s="89">
        <v>0.0</v>
      </c>
      <c r="Y158" s="89">
        <v>0.0</v>
      </c>
      <c r="Z158" s="89">
        <v>0.0</v>
      </c>
      <c r="AA158" s="89">
        <v>0.0</v>
      </c>
      <c r="AB158" s="89">
        <v>0.0</v>
      </c>
      <c r="AC158" s="89">
        <v>0.0</v>
      </c>
      <c r="AD158" s="89">
        <v>0.0</v>
      </c>
      <c r="AE158" s="89">
        <v>0.0</v>
      </c>
      <c r="AF158" s="89">
        <v>0.0</v>
      </c>
      <c r="AG158" s="89">
        <v>0.0</v>
      </c>
      <c r="AH158" s="89">
        <v>0.0</v>
      </c>
      <c r="AI158" s="89">
        <v>0.0</v>
      </c>
      <c r="AJ158" s="89">
        <v>0.0</v>
      </c>
      <c r="AK158" s="90">
        <v>0.0</v>
      </c>
      <c r="AL158" s="85"/>
      <c r="AM158" s="85">
        <f t="shared" si="6"/>
        <v>0</v>
      </c>
      <c r="AN158" s="86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v>144.0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89">
        <v>0.0</v>
      </c>
      <c r="Q159" s="89">
        <v>0.0</v>
      </c>
      <c r="R159" s="89">
        <v>0.0</v>
      </c>
      <c r="S159" s="89">
        <v>0.0</v>
      </c>
      <c r="T159" s="89">
        <v>0.0</v>
      </c>
      <c r="U159" s="89">
        <v>0.0</v>
      </c>
      <c r="V159" s="89">
        <v>0.0</v>
      </c>
      <c r="W159" s="89">
        <v>0.0</v>
      </c>
      <c r="X159" s="89">
        <v>0.0</v>
      </c>
      <c r="Y159" s="89">
        <v>0.0</v>
      </c>
      <c r="Z159" s="89">
        <v>0.0</v>
      </c>
      <c r="AA159" s="89">
        <v>0.0</v>
      </c>
      <c r="AB159" s="89">
        <v>0.0</v>
      </c>
      <c r="AC159" s="89">
        <v>0.0</v>
      </c>
      <c r="AD159" s="89">
        <v>0.0</v>
      </c>
      <c r="AE159" s="89">
        <v>0.0</v>
      </c>
      <c r="AF159" s="89">
        <v>0.0</v>
      </c>
      <c r="AG159" s="89">
        <v>0.0</v>
      </c>
      <c r="AH159" s="89">
        <v>0.0</v>
      </c>
      <c r="AI159" s="89">
        <v>0.0</v>
      </c>
      <c r="AJ159" s="89">
        <v>0.0</v>
      </c>
      <c r="AK159" s="90">
        <v>0.0</v>
      </c>
      <c r="AL159" s="85"/>
      <c r="AM159" s="85">
        <f t="shared" si="6"/>
        <v>0</v>
      </c>
      <c r="AN159" s="86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v>145.0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89">
        <v>0.0</v>
      </c>
      <c r="Q160" s="89">
        <v>0.0</v>
      </c>
      <c r="R160" s="89">
        <v>0.0</v>
      </c>
      <c r="S160" s="89">
        <v>0.0</v>
      </c>
      <c r="T160" s="89">
        <v>0.0</v>
      </c>
      <c r="U160" s="89">
        <v>0.0</v>
      </c>
      <c r="V160" s="89">
        <v>0.0</v>
      </c>
      <c r="W160" s="89">
        <v>0.0</v>
      </c>
      <c r="X160" s="89">
        <v>0.0</v>
      </c>
      <c r="Y160" s="89">
        <v>0.0</v>
      </c>
      <c r="Z160" s="89">
        <v>0.0</v>
      </c>
      <c r="AA160" s="89">
        <v>0.0</v>
      </c>
      <c r="AB160" s="89">
        <v>0.0</v>
      </c>
      <c r="AC160" s="89">
        <v>0.0</v>
      </c>
      <c r="AD160" s="89">
        <v>0.0</v>
      </c>
      <c r="AE160" s="89">
        <v>0.0</v>
      </c>
      <c r="AF160" s="89">
        <v>0.0</v>
      </c>
      <c r="AG160" s="89">
        <v>0.0</v>
      </c>
      <c r="AH160" s="89">
        <v>0.0</v>
      </c>
      <c r="AI160" s="89">
        <v>0.0</v>
      </c>
      <c r="AJ160" s="89">
        <v>0.0</v>
      </c>
      <c r="AK160" s="90">
        <v>0.0</v>
      </c>
      <c r="AL160" s="85"/>
      <c r="AM160" s="85">
        <f t="shared" si="6"/>
        <v>0</v>
      </c>
      <c r="AN160" s="86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v>146.0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89">
        <v>0.0</v>
      </c>
      <c r="Q161" s="89">
        <v>0.0</v>
      </c>
      <c r="R161" s="89">
        <v>0.0</v>
      </c>
      <c r="S161" s="89">
        <v>0.0</v>
      </c>
      <c r="T161" s="89">
        <v>0.0</v>
      </c>
      <c r="U161" s="89">
        <v>0.0</v>
      </c>
      <c r="V161" s="89">
        <v>0.0</v>
      </c>
      <c r="W161" s="89">
        <v>0.0</v>
      </c>
      <c r="X161" s="89">
        <v>0.0</v>
      </c>
      <c r="Y161" s="89">
        <v>0.0</v>
      </c>
      <c r="Z161" s="89">
        <v>0.0</v>
      </c>
      <c r="AA161" s="89">
        <v>0.0</v>
      </c>
      <c r="AB161" s="89">
        <v>0.0</v>
      </c>
      <c r="AC161" s="89">
        <v>0.0</v>
      </c>
      <c r="AD161" s="89">
        <v>0.0</v>
      </c>
      <c r="AE161" s="89">
        <v>0.0</v>
      </c>
      <c r="AF161" s="89">
        <v>0.0</v>
      </c>
      <c r="AG161" s="89">
        <v>0.0</v>
      </c>
      <c r="AH161" s="89">
        <v>0.0</v>
      </c>
      <c r="AI161" s="89">
        <v>0.0</v>
      </c>
      <c r="AJ161" s="89">
        <v>0.0</v>
      </c>
      <c r="AK161" s="90">
        <v>0.0</v>
      </c>
      <c r="AL161" s="85"/>
      <c r="AM161" s="85">
        <f t="shared" si="6"/>
        <v>0</v>
      </c>
      <c r="AN161" s="86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v>147.0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89">
        <v>0.0</v>
      </c>
      <c r="Q162" s="89">
        <v>0.0</v>
      </c>
      <c r="R162" s="89">
        <v>0.0</v>
      </c>
      <c r="S162" s="89">
        <v>0.0</v>
      </c>
      <c r="T162" s="89">
        <v>0.0</v>
      </c>
      <c r="U162" s="89">
        <v>0.0</v>
      </c>
      <c r="V162" s="89">
        <v>0.0</v>
      </c>
      <c r="W162" s="89">
        <v>0.0</v>
      </c>
      <c r="X162" s="89">
        <v>0.0</v>
      </c>
      <c r="Y162" s="89">
        <v>0.0</v>
      </c>
      <c r="Z162" s="89">
        <v>0.0</v>
      </c>
      <c r="AA162" s="89">
        <v>0.0</v>
      </c>
      <c r="AB162" s="89">
        <v>0.0</v>
      </c>
      <c r="AC162" s="89">
        <v>0.0</v>
      </c>
      <c r="AD162" s="89">
        <v>0.0</v>
      </c>
      <c r="AE162" s="89">
        <v>0.0</v>
      </c>
      <c r="AF162" s="89">
        <v>0.0</v>
      </c>
      <c r="AG162" s="89">
        <v>0.0</v>
      </c>
      <c r="AH162" s="89">
        <v>0.0</v>
      </c>
      <c r="AI162" s="89">
        <v>0.0</v>
      </c>
      <c r="AJ162" s="89">
        <v>0.0</v>
      </c>
      <c r="AK162" s="90">
        <v>0.0</v>
      </c>
      <c r="AL162" s="85"/>
      <c r="AM162" s="85">
        <f t="shared" si="6"/>
        <v>0</v>
      </c>
      <c r="AN162" s="86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v>148.0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89">
        <v>0.0</v>
      </c>
      <c r="Q163" s="89">
        <v>0.0</v>
      </c>
      <c r="R163" s="89">
        <v>0.0</v>
      </c>
      <c r="S163" s="89">
        <v>0.0</v>
      </c>
      <c r="T163" s="89">
        <v>0.0</v>
      </c>
      <c r="U163" s="89">
        <v>0.0</v>
      </c>
      <c r="V163" s="89">
        <v>0.0</v>
      </c>
      <c r="W163" s="89">
        <v>0.0</v>
      </c>
      <c r="X163" s="89">
        <v>0.0</v>
      </c>
      <c r="Y163" s="89">
        <v>0.0</v>
      </c>
      <c r="Z163" s="89">
        <v>0.0</v>
      </c>
      <c r="AA163" s="89">
        <v>0.0</v>
      </c>
      <c r="AB163" s="89">
        <v>0.0</v>
      </c>
      <c r="AC163" s="89">
        <v>0.0</v>
      </c>
      <c r="AD163" s="89">
        <v>0.0</v>
      </c>
      <c r="AE163" s="89">
        <v>0.0</v>
      </c>
      <c r="AF163" s="89">
        <v>0.0</v>
      </c>
      <c r="AG163" s="89">
        <v>0.0</v>
      </c>
      <c r="AH163" s="89">
        <v>0.0</v>
      </c>
      <c r="AI163" s="89">
        <v>0.0</v>
      </c>
      <c r="AJ163" s="89">
        <v>0.0</v>
      </c>
      <c r="AK163" s="90">
        <v>0.0</v>
      </c>
      <c r="AL163" s="85"/>
      <c r="AM163" s="85">
        <f t="shared" si="6"/>
        <v>0</v>
      </c>
      <c r="AN163" s="86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v>149.0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89">
        <v>0.0</v>
      </c>
      <c r="Q164" s="89">
        <v>0.0</v>
      </c>
      <c r="R164" s="89">
        <v>0.0</v>
      </c>
      <c r="S164" s="89">
        <v>0.0</v>
      </c>
      <c r="T164" s="89">
        <v>0.0</v>
      </c>
      <c r="U164" s="89">
        <v>0.0</v>
      </c>
      <c r="V164" s="89">
        <v>0.0</v>
      </c>
      <c r="W164" s="89">
        <v>0.0</v>
      </c>
      <c r="X164" s="89">
        <v>0.0</v>
      </c>
      <c r="Y164" s="89">
        <v>0.0</v>
      </c>
      <c r="Z164" s="89">
        <v>0.0</v>
      </c>
      <c r="AA164" s="89">
        <v>0.0</v>
      </c>
      <c r="AB164" s="89">
        <v>0.0</v>
      </c>
      <c r="AC164" s="89">
        <v>0.0</v>
      </c>
      <c r="AD164" s="89">
        <v>0.0</v>
      </c>
      <c r="AE164" s="89">
        <v>0.0</v>
      </c>
      <c r="AF164" s="89">
        <v>0.0</v>
      </c>
      <c r="AG164" s="89">
        <v>0.0</v>
      </c>
      <c r="AH164" s="89">
        <v>0.0</v>
      </c>
      <c r="AI164" s="89">
        <v>0.0</v>
      </c>
      <c r="AJ164" s="89">
        <v>0.0</v>
      </c>
      <c r="AK164" s="90">
        <v>0.0</v>
      </c>
      <c r="AL164" s="85"/>
      <c r="AM164" s="85">
        <f t="shared" si="6"/>
        <v>0</v>
      </c>
      <c r="AN164" s="86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v>150.0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89">
        <v>0.0</v>
      </c>
      <c r="Q165" s="89">
        <v>0.0</v>
      </c>
      <c r="R165" s="89">
        <v>0.0</v>
      </c>
      <c r="S165" s="89">
        <v>0.0</v>
      </c>
      <c r="T165" s="89">
        <v>0.0</v>
      </c>
      <c r="U165" s="89">
        <v>0.0</v>
      </c>
      <c r="V165" s="89">
        <v>0.0</v>
      </c>
      <c r="W165" s="89">
        <v>0.0</v>
      </c>
      <c r="X165" s="89">
        <v>0.0</v>
      </c>
      <c r="Y165" s="89">
        <v>0.0</v>
      </c>
      <c r="Z165" s="89">
        <v>0.0</v>
      </c>
      <c r="AA165" s="89">
        <v>0.0</v>
      </c>
      <c r="AB165" s="89">
        <v>0.0</v>
      </c>
      <c r="AC165" s="89">
        <v>0.0</v>
      </c>
      <c r="AD165" s="89">
        <v>0.0</v>
      </c>
      <c r="AE165" s="89">
        <v>0.0</v>
      </c>
      <c r="AF165" s="89">
        <v>0.0</v>
      </c>
      <c r="AG165" s="89">
        <v>0.0</v>
      </c>
      <c r="AH165" s="89">
        <v>0.0</v>
      </c>
      <c r="AI165" s="89">
        <v>0.0</v>
      </c>
      <c r="AJ165" s="89">
        <v>0.0</v>
      </c>
      <c r="AK165" s="90">
        <v>0.0</v>
      </c>
      <c r="AL165" s="85"/>
      <c r="AM165" s="85">
        <f t="shared" si="6"/>
        <v>0</v>
      </c>
      <c r="AN165" s="86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v>151.0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89">
        <v>0.0</v>
      </c>
      <c r="Q166" s="89">
        <v>0.0</v>
      </c>
      <c r="R166" s="89">
        <v>0.0</v>
      </c>
      <c r="S166" s="89">
        <v>0.0</v>
      </c>
      <c r="T166" s="89">
        <v>0.0</v>
      </c>
      <c r="U166" s="89">
        <v>0.0</v>
      </c>
      <c r="V166" s="89">
        <v>0.0</v>
      </c>
      <c r="W166" s="89">
        <v>0.0</v>
      </c>
      <c r="X166" s="89">
        <v>0.0</v>
      </c>
      <c r="Y166" s="89">
        <v>0.0</v>
      </c>
      <c r="Z166" s="89">
        <v>0.0</v>
      </c>
      <c r="AA166" s="89">
        <v>0.0</v>
      </c>
      <c r="AB166" s="89">
        <v>0.0</v>
      </c>
      <c r="AC166" s="89">
        <v>0.0</v>
      </c>
      <c r="AD166" s="89">
        <v>0.0</v>
      </c>
      <c r="AE166" s="89">
        <v>0.0</v>
      </c>
      <c r="AF166" s="89">
        <v>0.0</v>
      </c>
      <c r="AG166" s="89">
        <v>0.0</v>
      </c>
      <c r="AH166" s="89">
        <v>0.0</v>
      </c>
      <c r="AI166" s="89">
        <v>0.0</v>
      </c>
      <c r="AJ166" s="89">
        <v>0.0</v>
      </c>
      <c r="AK166" s="90">
        <v>0.0</v>
      </c>
      <c r="AL166" s="85"/>
      <c r="AM166" s="85">
        <f t="shared" si="6"/>
        <v>0</v>
      </c>
      <c r="AN166" s="86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v>152.0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89">
        <v>0.0</v>
      </c>
      <c r="Q167" s="89">
        <v>0.0</v>
      </c>
      <c r="R167" s="89">
        <v>0.0</v>
      </c>
      <c r="S167" s="89">
        <v>0.0</v>
      </c>
      <c r="T167" s="89">
        <v>0.0</v>
      </c>
      <c r="U167" s="89">
        <v>0.0</v>
      </c>
      <c r="V167" s="89">
        <v>0.0</v>
      </c>
      <c r="W167" s="89">
        <v>0.0</v>
      </c>
      <c r="X167" s="89">
        <v>0.0</v>
      </c>
      <c r="Y167" s="89">
        <v>0.0</v>
      </c>
      <c r="Z167" s="89">
        <v>0.0</v>
      </c>
      <c r="AA167" s="89">
        <v>0.0</v>
      </c>
      <c r="AB167" s="89">
        <v>0.0</v>
      </c>
      <c r="AC167" s="89">
        <v>0.0</v>
      </c>
      <c r="AD167" s="89">
        <v>0.0</v>
      </c>
      <c r="AE167" s="89">
        <v>0.0</v>
      </c>
      <c r="AF167" s="89">
        <v>0.0</v>
      </c>
      <c r="AG167" s="89">
        <v>0.0</v>
      </c>
      <c r="AH167" s="89">
        <v>0.0</v>
      </c>
      <c r="AI167" s="89">
        <v>0.0</v>
      </c>
      <c r="AJ167" s="89">
        <v>0.0</v>
      </c>
      <c r="AK167" s="90">
        <v>0.0</v>
      </c>
      <c r="AL167" s="85"/>
      <c r="AM167" s="85">
        <f t="shared" si="6"/>
        <v>0</v>
      </c>
      <c r="AN167" s="86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v>153.0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89">
        <v>0.0</v>
      </c>
      <c r="Q168" s="89">
        <v>0.0</v>
      </c>
      <c r="R168" s="89">
        <v>0.0</v>
      </c>
      <c r="S168" s="89">
        <v>0.0</v>
      </c>
      <c r="T168" s="89">
        <v>0.0</v>
      </c>
      <c r="U168" s="89">
        <v>0.0</v>
      </c>
      <c r="V168" s="89">
        <v>0.0</v>
      </c>
      <c r="W168" s="89">
        <v>0.0</v>
      </c>
      <c r="X168" s="89">
        <v>0.0</v>
      </c>
      <c r="Y168" s="89">
        <v>0.0</v>
      </c>
      <c r="Z168" s="89">
        <v>0.0</v>
      </c>
      <c r="AA168" s="89">
        <v>0.0</v>
      </c>
      <c r="AB168" s="89">
        <v>0.0</v>
      </c>
      <c r="AC168" s="89">
        <v>0.0</v>
      </c>
      <c r="AD168" s="89">
        <v>0.0</v>
      </c>
      <c r="AE168" s="89">
        <v>0.0</v>
      </c>
      <c r="AF168" s="89">
        <v>0.0</v>
      </c>
      <c r="AG168" s="89">
        <v>0.0</v>
      </c>
      <c r="AH168" s="89">
        <v>0.0</v>
      </c>
      <c r="AI168" s="89">
        <v>0.0</v>
      </c>
      <c r="AJ168" s="89">
        <v>0.0</v>
      </c>
      <c r="AK168" s="90">
        <v>0.0</v>
      </c>
      <c r="AL168" s="85"/>
      <c r="AM168" s="85">
        <f t="shared" si="6"/>
        <v>0</v>
      </c>
      <c r="AN168" s="86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v>154.0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89">
        <v>0.0</v>
      </c>
      <c r="Q169" s="89">
        <v>0.0</v>
      </c>
      <c r="R169" s="89">
        <v>0.0</v>
      </c>
      <c r="S169" s="89">
        <v>0.0</v>
      </c>
      <c r="T169" s="89">
        <v>0.0</v>
      </c>
      <c r="U169" s="89">
        <v>0.0</v>
      </c>
      <c r="V169" s="89">
        <v>0.0</v>
      </c>
      <c r="W169" s="89">
        <v>0.0</v>
      </c>
      <c r="X169" s="89">
        <v>0.0</v>
      </c>
      <c r="Y169" s="89">
        <v>0.0</v>
      </c>
      <c r="Z169" s="89">
        <v>0.0</v>
      </c>
      <c r="AA169" s="89">
        <v>0.0</v>
      </c>
      <c r="AB169" s="89">
        <v>0.0</v>
      </c>
      <c r="AC169" s="89">
        <v>0.0</v>
      </c>
      <c r="AD169" s="89">
        <v>0.0</v>
      </c>
      <c r="AE169" s="89">
        <v>0.0</v>
      </c>
      <c r="AF169" s="89">
        <v>0.0</v>
      </c>
      <c r="AG169" s="89">
        <v>0.0</v>
      </c>
      <c r="AH169" s="89">
        <v>0.0</v>
      </c>
      <c r="AI169" s="89">
        <v>0.0</v>
      </c>
      <c r="AJ169" s="89">
        <v>0.0</v>
      </c>
      <c r="AK169" s="90">
        <v>0.0</v>
      </c>
      <c r="AL169" s="85"/>
      <c r="AM169" s="85">
        <f t="shared" si="6"/>
        <v>0</v>
      </c>
      <c r="AN169" s="86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v>155.0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89">
        <v>0.0</v>
      </c>
      <c r="Q170" s="89">
        <v>0.0</v>
      </c>
      <c r="R170" s="89">
        <v>0.0</v>
      </c>
      <c r="S170" s="89">
        <v>0.0</v>
      </c>
      <c r="T170" s="89">
        <v>0.0</v>
      </c>
      <c r="U170" s="89">
        <v>0.0</v>
      </c>
      <c r="V170" s="89">
        <v>0.0</v>
      </c>
      <c r="W170" s="89">
        <v>0.0</v>
      </c>
      <c r="X170" s="89">
        <v>0.0</v>
      </c>
      <c r="Y170" s="89">
        <v>0.0</v>
      </c>
      <c r="Z170" s="89">
        <v>0.0</v>
      </c>
      <c r="AA170" s="89">
        <v>0.0</v>
      </c>
      <c r="AB170" s="89">
        <v>0.0</v>
      </c>
      <c r="AC170" s="89">
        <v>0.0</v>
      </c>
      <c r="AD170" s="89">
        <v>0.0</v>
      </c>
      <c r="AE170" s="89">
        <v>0.0</v>
      </c>
      <c r="AF170" s="89">
        <v>0.0</v>
      </c>
      <c r="AG170" s="89">
        <v>0.0</v>
      </c>
      <c r="AH170" s="89">
        <v>0.0</v>
      </c>
      <c r="AI170" s="89">
        <v>0.0</v>
      </c>
      <c r="AJ170" s="89">
        <v>0.0</v>
      </c>
      <c r="AK170" s="90">
        <v>0.0</v>
      </c>
      <c r="AL170" s="85"/>
      <c r="AM170" s="85">
        <f t="shared" si="6"/>
        <v>0</v>
      </c>
      <c r="AN170" s="86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v>156.0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89">
        <v>0.0</v>
      </c>
      <c r="Q171" s="89">
        <v>0.0</v>
      </c>
      <c r="R171" s="89">
        <v>0.0</v>
      </c>
      <c r="S171" s="89">
        <v>0.0</v>
      </c>
      <c r="T171" s="89">
        <v>0.0</v>
      </c>
      <c r="U171" s="89">
        <v>0.0</v>
      </c>
      <c r="V171" s="89">
        <v>0.0</v>
      </c>
      <c r="W171" s="89">
        <v>0.0</v>
      </c>
      <c r="X171" s="89">
        <v>0.0</v>
      </c>
      <c r="Y171" s="89">
        <v>0.0</v>
      </c>
      <c r="Z171" s="89">
        <v>0.0</v>
      </c>
      <c r="AA171" s="89">
        <v>0.0</v>
      </c>
      <c r="AB171" s="89">
        <v>0.0</v>
      </c>
      <c r="AC171" s="89">
        <v>0.0</v>
      </c>
      <c r="AD171" s="89">
        <v>0.0</v>
      </c>
      <c r="AE171" s="89">
        <v>0.0</v>
      </c>
      <c r="AF171" s="89">
        <v>0.0</v>
      </c>
      <c r="AG171" s="89">
        <v>0.0</v>
      </c>
      <c r="AH171" s="89">
        <v>0.0</v>
      </c>
      <c r="AI171" s="89">
        <v>0.0</v>
      </c>
      <c r="AJ171" s="89">
        <v>0.0</v>
      </c>
      <c r="AK171" s="90">
        <v>0.0</v>
      </c>
      <c r="AL171" s="85"/>
      <c r="AM171" s="85">
        <f t="shared" si="6"/>
        <v>0</v>
      </c>
      <c r="AN171" s="86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v>157.0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89">
        <v>0.0</v>
      </c>
      <c r="Q172" s="89">
        <v>0.0</v>
      </c>
      <c r="R172" s="89">
        <v>0.0</v>
      </c>
      <c r="S172" s="89">
        <v>0.0</v>
      </c>
      <c r="T172" s="89">
        <v>0.0</v>
      </c>
      <c r="U172" s="89">
        <v>0.0</v>
      </c>
      <c r="V172" s="89">
        <v>0.0</v>
      </c>
      <c r="W172" s="89">
        <v>0.0</v>
      </c>
      <c r="X172" s="89">
        <v>0.0</v>
      </c>
      <c r="Y172" s="89">
        <v>0.0</v>
      </c>
      <c r="Z172" s="89">
        <v>0.0</v>
      </c>
      <c r="AA172" s="89">
        <v>0.0</v>
      </c>
      <c r="AB172" s="89">
        <v>0.0</v>
      </c>
      <c r="AC172" s="89">
        <v>0.0</v>
      </c>
      <c r="AD172" s="89">
        <v>0.0</v>
      </c>
      <c r="AE172" s="89">
        <v>0.0</v>
      </c>
      <c r="AF172" s="89">
        <v>0.0</v>
      </c>
      <c r="AG172" s="89">
        <v>0.0</v>
      </c>
      <c r="AH172" s="89">
        <v>0.0</v>
      </c>
      <c r="AI172" s="89">
        <v>0.0</v>
      </c>
      <c r="AJ172" s="89">
        <v>0.0</v>
      </c>
      <c r="AK172" s="90">
        <v>0.0</v>
      </c>
      <c r="AL172" s="85"/>
      <c r="AM172" s="85">
        <f t="shared" si="6"/>
        <v>0</v>
      </c>
      <c r="AN172" s="86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v>158.0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89">
        <v>0.0</v>
      </c>
      <c r="Q173" s="89">
        <v>0.0</v>
      </c>
      <c r="R173" s="89">
        <v>0.0</v>
      </c>
      <c r="S173" s="89">
        <v>0.0</v>
      </c>
      <c r="T173" s="89">
        <v>0.0</v>
      </c>
      <c r="U173" s="89">
        <v>0.0</v>
      </c>
      <c r="V173" s="89">
        <v>0.0</v>
      </c>
      <c r="W173" s="89">
        <v>0.0</v>
      </c>
      <c r="X173" s="89">
        <v>0.0</v>
      </c>
      <c r="Y173" s="89">
        <v>0.0</v>
      </c>
      <c r="Z173" s="89">
        <v>0.0</v>
      </c>
      <c r="AA173" s="89">
        <v>0.0</v>
      </c>
      <c r="AB173" s="89">
        <v>0.0</v>
      </c>
      <c r="AC173" s="89">
        <v>0.0</v>
      </c>
      <c r="AD173" s="89">
        <v>0.0</v>
      </c>
      <c r="AE173" s="89">
        <v>0.0</v>
      </c>
      <c r="AF173" s="89">
        <v>0.0</v>
      </c>
      <c r="AG173" s="89">
        <v>0.0</v>
      </c>
      <c r="AH173" s="89">
        <v>0.0</v>
      </c>
      <c r="AI173" s="89">
        <v>0.0</v>
      </c>
      <c r="AJ173" s="89">
        <v>0.0</v>
      </c>
      <c r="AK173" s="90">
        <v>0.0</v>
      </c>
      <c r="AL173" s="85"/>
      <c r="AM173" s="85">
        <f t="shared" si="6"/>
        <v>0</v>
      </c>
      <c r="AN173" s="86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v>159.0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89">
        <v>0.0</v>
      </c>
      <c r="Q174" s="89">
        <v>0.0</v>
      </c>
      <c r="R174" s="89">
        <v>0.0</v>
      </c>
      <c r="S174" s="89">
        <v>0.0</v>
      </c>
      <c r="T174" s="89">
        <v>0.0</v>
      </c>
      <c r="U174" s="89">
        <v>0.0</v>
      </c>
      <c r="V174" s="89">
        <v>0.0</v>
      </c>
      <c r="W174" s="89">
        <v>0.0</v>
      </c>
      <c r="X174" s="89">
        <v>0.0</v>
      </c>
      <c r="Y174" s="89">
        <v>0.0</v>
      </c>
      <c r="Z174" s="89">
        <v>0.0</v>
      </c>
      <c r="AA174" s="89">
        <v>0.0</v>
      </c>
      <c r="AB174" s="89">
        <v>0.0</v>
      </c>
      <c r="AC174" s="89">
        <v>0.0</v>
      </c>
      <c r="AD174" s="89">
        <v>0.0</v>
      </c>
      <c r="AE174" s="89">
        <v>0.0</v>
      </c>
      <c r="AF174" s="89">
        <v>0.0</v>
      </c>
      <c r="AG174" s="89">
        <v>0.0</v>
      </c>
      <c r="AH174" s="89">
        <v>0.0</v>
      </c>
      <c r="AI174" s="89">
        <v>0.0</v>
      </c>
      <c r="AJ174" s="89">
        <v>0.0</v>
      </c>
      <c r="AK174" s="90">
        <v>0.0</v>
      </c>
      <c r="AL174" s="85"/>
      <c r="AM174" s="85">
        <f t="shared" si="6"/>
        <v>0</v>
      </c>
      <c r="AN174" s="86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v>160.0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89">
        <v>0.0</v>
      </c>
      <c r="Q175" s="89">
        <v>0.0</v>
      </c>
      <c r="R175" s="89">
        <v>0.0</v>
      </c>
      <c r="S175" s="89">
        <v>0.0</v>
      </c>
      <c r="T175" s="89">
        <v>0.0</v>
      </c>
      <c r="U175" s="89">
        <v>0.0</v>
      </c>
      <c r="V175" s="89">
        <v>0.0</v>
      </c>
      <c r="W175" s="89">
        <v>0.0</v>
      </c>
      <c r="X175" s="89">
        <v>0.0</v>
      </c>
      <c r="Y175" s="89">
        <v>0.0</v>
      </c>
      <c r="Z175" s="89">
        <v>0.0</v>
      </c>
      <c r="AA175" s="89">
        <v>0.0</v>
      </c>
      <c r="AB175" s="89">
        <v>0.0</v>
      </c>
      <c r="AC175" s="89">
        <v>0.0</v>
      </c>
      <c r="AD175" s="89">
        <v>0.0</v>
      </c>
      <c r="AE175" s="89">
        <v>0.0</v>
      </c>
      <c r="AF175" s="89">
        <v>0.0</v>
      </c>
      <c r="AG175" s="89">
        <v>0.0</v>
      </c>
      <c r="AH175" s="89">
        <v>0.0</v>
      </c>
      <c r="AI175" s="89">
        <v>0.0</v>
      </c>
      <c r="AJ175" s="89">
        <v>0.0</v>
      </c>
      <c r="AK175" s="90">
        <v>0.0</v>
      </c>
      <c r="AL175" s="85"/>
      <c r="AM175" s="85">
        <f t="shared" si="6"/>
        <v>0</v>
      </c>
      <c r="AN175" s="86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v>161.0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89">
        <v>0.0</v>
      </c>
      <c r="Q176" s="89">
        <v>0.0</v>
      </c>
      <c r="R176" s="89">
        <v>0.0</v>
      </c>
      <c r="S176" s="89">
        <v>0.0</v>
      </c>
      <c r="T176" s="89">
        <v>0.0</v>
      </c>
      <c r="U176" s="89">
        <v>0.0</v>
      </c>
      <c r="V176" s="89">
        <v>0.0</v>
      </c>
      <c r="W176" s="89">
        <v>0.0</v>
      </c>
      <c r="X176" s="89">
        <v>0.0</v>
      </c>
      <c r="Y176" s="89">
        <v>0.0</v>
      </c>
      <c r="Z176" s="89">
        <v>0.0</v>
      </c>
      <c r="AA176" s="89">
        <v>0.0</v>
      </c>
      <c r="AB176" s="89">
        <v>0.0</v>
      </c>
      <c r="AC176" s="89">
        <v>0.0</v>
      </c>
      <c r="AD176" s="89">
        <v>0.0</v>
      </c>
      <c r="AE176" s="89">
        <v>0.0</v>
      </c>
      <c r="AF176" s="89">
        <v>0.0</v>
      </c>
      <c r="AG176" s="89">
        <v>0.0</v>
      </c>
      <c r="AH176" s="89">
        <v>0.0</v>
      </c>
      <c r="AI176" s="89">
        <v>0.0</v>
      </c>
      <c r="AJ176" s="89">
        <v>0.0</v>
      </c>
      <c r="AK176" s="90">
        <v>0.0</v>
      </c>
      <c r="AL176" s="85"/>
      <c r="AM176" s="85">
        <f t="shared" si="6"/>
        <v>0</v>
      </c>
      <c r="AN176" s="86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v>162.0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89">
        <v>0.0</v>
      </c>
      <c r="Q177" s="89">
        <v>0.0</v>
      </c>
      <c r="R177" s="89">
        <v>0.0</v>
      </c>
      <c r="S177" s="89">
        <v>0.0</v>
      </c>
      <c r="T177" s="89">
        <v>0.0</v>
      </c>
      <c r="U177" s="89">
        <v>0.0</v>
      </c>
      <c r="V177" s="89">
        <v>0.0</v>
      </c>
      <c r="W177" s="89">
        <v>0.0</v>
      </c>
      <c r="X177" s="89">
        <v>0.0</v>
      </c>
      <c r="Y177" s="89">
        <v>0.0</v>
      </c>
      <c r="Z177" s="89">
        <v>0.0</v>
      </c>
      <c r="AA177" s="89">
        <v>0.0</v>
      </c>
      <c r="AB177" s="89">
        <v>0.0</v>
      </c>
      <c r="AC177" s="89">
        <v>0.0</v>
      </c>
      <c r="AD177" s="89">
        <v>0.0</v>
      </c>
      <c r="AE177" s="89">
        <v>0.0</v>
      </c>
      <c r="AF177" s="89">
        <v>0.0</v>
      </c>
      <c r="AG177" s="89">
        <v>0.0</v>
      </c>
      <c r="AH177" s="89">
        <v>0.0</v>
      </c>
      <c r="AI177" s="89">
        <v>0.0</v>
      </c>
      <c r="AJ177" s="89">
        <v>0.0</v>
      </c>
      <c r="AK177" s="90">
        <v>0.0</v>
      </c>
      <c r="AL177" s="85"/>
      <c r="AM177" s="85">
        <f t="shared" si="6"/>
        <v>0</v>
      </c>
      <c r="AN177" s="86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v>163.0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89">
        <v>0.0</v>
      </c>
      <c r="Q178" s="89">
        <v>0.0</v>
      </c>
      <c r="R178" s="89">
        <v>0.0</v>
      </c>
      <c r="S178" s="89">
        <v>0.0</v>
      </c>
      <c r="T178" s="89">
        <v>0.0</v>
      </c>
      <c r="U178" s="89">
        <v>0.0</v>
      </c>
      <c r="V178" s="89">
        <v>0.0</v>
      </c>
      <c r="W178" s="89">
        <v>0.0</v>
      </c>
      <c r="X178" s="89">
        <v>0.0</v>
      </c>
      <c r="Y178" s="89">
        <v>0.0</v>
      </c>
      <c r="Z178" s="89">
        <v>0.0</v>
      </c>
      <c r="AA178" s="89">
        <v>0.0</v>
      </c>
      <c r="AB178" s="89">
        <v>0.0</v>
      </c>
      <c r="AC178" s="89">
        <v>0.0</v>
      </c>
      <c r="AD178" s="89">
        <v>0.0</v>
      </c>
      <c r="AE178" s="89">
        <v>0.0</v>
      </c>
      <c r="AF178" s="89">
        <v>0.0</v>
      </c>
      <c r="AG178" s="89">
        <v>0.0</v>
      </c>
      <c r="AH178" s="89">
        <v>0.0</v>
      </c>
      <c r="AI178" s="89">
        <v>0.0</v>
      </c>
      <c r="AJ178" s="89">
        <v>0.0</v>
      </c>
      <c r="AK178" s="90">
        <v>0.0</v>
      </c>
      <c r="AL178" s="85"/>
      <c r="AM178" s="85">
        <f t="shared" si="6"/>
        <v>0</v>
      </c>
      <c r="AN178" s="86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v>164.0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89">
        <v>0.0</v>
      </c>
      <c r="Q179" s="89">
        <v>0.0</v>
      </c>
      <c r="R179" s="89">
        <v>0.0</v>
      </c>
      <c r="S179" s="89">
        <v>0.0</v>
      </c>
      <c r="T179" s="89">
        <v>0.0</v>
      </c>
      <c r="U179" s="89">
        <v>0.0</v>
      </c>
      <c r="V179" s="89">
        <v>0.0</v>
      </c>
      <c r="W179" s="89">
        <v>0.0</v>
      </c>
      <c r="X179" s="89">
        <v>0.0</v>
      </c>
      <c r="Y179" s="89">
        <v>0.0</v>
      </c>
      <c r="Z179" s="89">
        <v>0.0</v>
      </c>
      <c r="AA179" s="89">
        <v>0.0</v>
      </c>
      <c r="AB179" s="89">
        <v>0.0</v>
      </c>
      <c r="AC179" s="89">
        <v>0.0</v>
      </c>
      <c r="AD179" s="89">
        <v>0.0</v>
      </c>
      <c r="AE179" s="89">
        <v>0.0</v>
      </c>
      <c r="AF179" s="89">
        <v>0.0</v>
      </c>
      <c r="AG179" s="89">
        <v>0.0</v>
      </c>
      <c r="AH179" s="89">
        <v>0.0</v>
      </c>
      <c r="AI179" s="89">
        <v>0.0</v>
      </c>
      <c r="AJ179" s="89">
        <v>0.0</v>
      </c>
      <c r="AK179" s="90">
        <v>0.0</v>
      </c>
      <c r="AL179" s="85"/>
      <c r="AM179" s="85">
        <f t="shared" si="6"/>
        <v>0</v>
      </c>
      <c r="AN179" s="86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v>165.0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89">
        <v>0.0</v>
      </c>
      <c r="Q180" s="89">
        <v>0.0</v>
      </c>
      <c r="R180" s="89">
        <v>0.0</v>
      </c>
      <c r="S180" s="89">
        <v>0.0</v>
      </c>
      <c r="T180" s="89">
        <v>0.0</v>
      </c>
      <c r="U180" s="89">
        <v>0.0</v>
      </c>
      <c r="V180" s="89">
        <v>0.0</v>
      </c>
      <c r="W180" s="89">
        <v>0.0</v>
      </c>
      <c r="X180" s="89">
        <v>0.0</v>
      </c>
      <c r="Y180" s="89">
        <v>0.0</v>
      </c>
      <c r="Z180" s="89">
        <v>0.0</v>
      </c>
      <c r="AA180" s="89">
        <v>0.0</v>
      </c>
      <c r="AB180" s="89">
        <v>0.0</v>
      </c>
      <c r="AC180" s="89">
        <v>0.0</v>
      </c>
      <c r="AD180" s="89">
        <v>0.0</v>
      </c>
      <c r="AE180" s="89">
        <v>0.0</v>
      </c>
      <c r="AF180" s="89">
        <v>0.0</v>
      </c>
      <c r="AG180" s="89">
        <v>0.0</v>
      </c>
      <c r="AH180" s="89">
        <v>0.0</v>
      </c>
      <c r="AI180" s="89">
        <v>0.0</v>
      </c>
      <c r="AJ180" s="89">
        <v>0.0</v>
      </c>
      <c r="AK180" s="90">
        <v>0.0</v>
      </c>
      <c r="AL180" s="85"/>
      <c r="AM180" s="85">
        <f t="shared" si="6"/>
        <v>0</v>
      </c>
      <c r="AN180" s="86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v>166.0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89">
        <v>0.0</v>
      </c>
      <c r="Q181" s="89">
        <v>0.0</v>
      </c>
      <c r="R181" s="89">
        <v>0.0</v>
      </c>
      <c r="S181" s="89">
        <v>0.0</v>
      </c>
      <c r="T181" s="89">
        <v>0.0</v>
      </c>
      <c r="U181" s="89">
        <v>0.0</v>
      </c>
      <c r="V181" s="89">
        <v>0.0</v>
      </c>
      <c r="W181" s="89">
        <v>0.0</v>
      </c>
      <c r="X181" s="89">
        <v>0.0</v>
      </c>
      <c r="Y181" s="89">
        <v>0.0</v>
      </c>
      <c r="Z181" s="89">
        <v>0.0</v>
      </c>
      <c r="AA181" s="89">
        <v>0.0</v>
      </c>
      <c r="AB181" s="89">
        <v>0.0</v>
      </c>
      <c r="AC181" s="89">
        <v>0.0</v>
      </c>
      <c r="AD181" s="89">
        <v>0.0</v>
      </c>
      <c r="AE181" s="89">
        <v>0.0</v>
      </c>
      <c r="AF181" s="89">
        <v>0.0</v>
      </c>
      <c r="AG181" s="89">
        <v>0.0</v>
      </c>
      <c r="AH181" s="89">
        <v>0.0</v>
      </c>
      <c r="AI181" s="89">
        <v>0.0</v>
      </c>
      <c r="AJ181" s="89">
        <v>0.0</v>
      </c>
      <c r="AK181" s="90">
        <v>0.0</v>
      </c>
      <c r="AL181" s="85"/>
      <c r="AM181" s="85">
        <f t="shared" si="6"/>
        <v>0</v>
      </c>
      <c r="AN181" s="86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v>167.0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89">
        <v>0.0</v>
      </c>
      <c r="Q182" s="89">
        <v>0.0</v>
      </c>
      <c r="R182" s="89">
        <v>0.0</v>
      </c>
      <c r="S182" s="89">
        <v>0.0</v>
      </c>
      <c r="T182" s="89">
        <v>0.0</v>
      </c>
      <c r="U182" s="89">
        <v>0.0</v>
      </c>
      <c r="V182" s="89">
        <v>0.0</v>
      </c>
      <c r="W182" s="89">
        <v>0.0</v>
      </c>
      <c r="X182" s="89">
        <v>0.0</v>
      </c>
      <c r="Y182" s="89">
        <v>0.0</v>
      </c>
      <c r="Z182" s="89">
        <v>0.0</v>
      </c>
      <c r="AA182" s="89">
        <v>0.0</v>
      </c>
      <c r="AB182" s="89">
        <v>0.0</v>
      </c>
      <c r="AC182" s="89">
        <v>0.0</v>
      </c>
      <c r="AD182" s="89">
        <v>0.0</v>
      </c>
      <c r="AE182" s="89">
        <v>0.0</v>
      </c>
      <c r="AF182" s="89">
        <v>0.0</v>
      </c>
      <c r="AG182" s="89">
        <v>0.0</v>
      </c>
      <c r="AH182" s="89">
        <v>0.0</v>
      </c>
      <c r="AI182" s="89">
        <v>0.0</v>
      </c>
      <c r="AJ182" s="89">
        <v>0.0</v>
      </c>
      <c r="AK182" s="90">
        <v>0.0</v>
      </c>
      <c r="AL182" s="85"/>
      <c r="AM182" s="85">
        <f t="shared" si="6"/>
        <v>0</v>
      </c>
      <c r="AN182" s="86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v>168.0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89">
        <v>0.0</v>
      </c>
      <c r="Q183" s="89">
        <v>0.0</v>
      </c>
      <c r="R183" s="89">
        <v>0.0</v>
      </c>
      <c r="S183" s="89">
        <v>0.0</v>
      </c>
      <c r="T183" s="89">
        <v>0.0</v>
      </c>
      <c r="U183" s="89">
        <v>0.0</v>
      </c>
      <c r="V183" s="89">
        <v>0.0</v>
      </c>
      <c r="W183" s="89">
        <v>0.0</v>
      </c>
      <c r="X183" s="89">
        <v>0.0</v>
      </c>
      <c r="Y183" s="89">
        <v>0.0</v>
      </c>
      <c r="Z183" s="89">
        <v>0.0</v>
      </c>
      <c r="AA183" s="89">
        <v>0.0</v>
      </c>
      <c r="AB183" s="89">
        <v>0.0</v>
      </c>
      <c r="AC183" s="89">
        <v>0.0</v>
      </c>
      <c r="AD183" s="89">
        <v>0.0</v>
      </c>
      <c r="AE183" s="89">
        <v>0.0</v>
      </c>
      <c r="AF183" s="89">
        <v>0.0</v>
      </c>
      <c r="AG183" s="89">
        <v>0.0</v>
      </c>
      <c r="AH183" s="89">
        <v>0.0</v>
      </c>
      <c r="AI183" s="89">
        <v>0.0</v>
      </c>
      <c r="AJ183" s="89">
        <v>0.0</v>
      </c>
      <c r="AK183" s="90">
        <v>0.0</v>
      </c>
      <c r="AL183" s="85"/>
      <c r="AM183" s="85">
        <f t="shared" si="6"/>
        <v>0</v>
      </c>
      <c r="AN183" s="86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v>169.0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89">
        <v>0.0</v>
      </c>
      <c r="Q184" s="89">
        <v>0.0</v>
      </c>
      <c r="R184" s="89">
        <v>0.0</v>
      </c>
      <c r="S184" s="89">
        <v>0.0</v>
      </c>
      <c r="T184" s="89">
        <v>0.0</v>
      </c>
      <c r="U184" s="89">
        <v>0.0</v>
      </c>
      <c r="V184" s="89">
        <v>0.0</v>
      </c>
      <c r="W184" s="89">
        <v>0.0</v>
      </c>
      <c r="X184" s="89">
        <v>0.0</v>
      </c>
      <c r="Y184" s="89">
        <v>0.0</v>
      </c>
      <c r="Z184" s="89">
        <v>0.0</v>
      </c>
      <c r="AA184" s="89">
        <v>0.0</v>
      </c>
      <c r="AB184" s="89">
        <v>0.0</v>
      </c>
      <c r="AC184" s="89">
        <v>0.0</v>
      </c>
      <c r="AD184" s="89">
        <v>0.0</v>
      </c>
      <c r="AE184" s="89">
        <v>0.0</v>
      </c>
      <c r="AF184" s="89">
        <v>0.0</v>
      </c>
      <c r="AG184" s="89">
        <v>0.0</v>
      </c>
      <c r="AH184" s="89">
        <v>0.0</v>
      </c>
      <c r="AI184" s="89">
        <v>0.0</v>
      </c>
      <c r="AJ184" s="89">
        <v>0.0</v>
      </c>
      <c r="AK184" s="90">
        <v>0.0</v>
      </c>
      <c r="AL184" s="85"/>
      <c r="AM184" s="85">
        <f t="shared" si="6"/>
        <v>0</v>
      </c>
      <c r="AN184" s="86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v>170.0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89">
        <v>0.0</v>
      </c>
      <c r="Q185" s="89">
        <v>0.0</v>
      </c>
      <c r="R185" s="89">
        <v>0.0</v>
      </c>
      <c r="S185" s="89">
        <v>0.0</v>
      </c>
      <c r="T185" s="89">
        <v>0.0</v>
      </c>
      <c r="U185" s="89">
        <v>0.0</v>
      </c>
      <c r="V185" s="89">
        <v>0.0</v>
      </c>
      <c r="W185" s="89">
        <v>0.0</v>
      </c>
      <c r="X185" s="89">
        <v>0.0</v>
      </c>
      <c r="Y185" s="89">
        <v>0.0</v>
      </c>
      <c r="Z185" s="89">
        <v>0.0</v>
      </c>
      <c r="AA185" s="89">
        <v>0.0</v>
      </c>
      <c r="AB185" s="89">
        <v>0.0</v>
      </c>
      <c r="AC185" s="89">
        <v>0.0</v>
      </c>
      <c r="AD185" s="89">
        <v>0.0</v>
      </c>
      <c r="AE185" s="89">
        <v>0.0</v>
      </c>
      <c r="AF185" s="89">
        <v>0.0</v>
      </c>
      <c r="AG185" s="89">
        <v>0.0</v>
      </c>
      <c r="AH185" s="89">
        <v>0.0</v>
      </c>
      <c r="AI185" s="89">
        <v>0.0</v>
      </c>
      <c r="AJ185" s="89">
        <v>0.0</v>
      </c>
      <c r="AK185" s="90">
        <v>0.0</v>
      </c>
      <c r="AL185" s="85"/>
      <c r="AM185" s="85">
        <f t="shared" si="6"/>
        <v>0</v>
      </c>
      <c r="AN185" s="86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v>171.0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89">
        <v>0.0</v>
      </c>
      <c r="Q186" s="89">
        <v>0.0</v>
      </c>
      <c r="R186" s="89">
        <v>0.0</v>
      </c>
      <c r="S186" s="89">
        <v>0.0</v>
      </c>
      <c r="T186" s="89">
        <v>0.0</v>
      </c>
      <c r="U186" s="89">
        <v>0.0</v>
      </c>
      <c r="V186" s="89">
        <v>0.0</v>
      </c>
      <c r="W186" s="89">
        <v>0.0</v>
      </c>
      <c r="X186" s="89">
        <v>0.0</v>
      </c>
      <c r="Y186" s="89">
        <v>0.0</v>
      </c>
      <c r="Z186" s="89">
        <v>0.0</v>
      </c>
      <c r="AA186" s="89">
        <v>0.0</v>
      </c>
      <c r="AB186" s="89">
        <v>0.0</v>
      </c>
      <c r="AC186" s="89">
        <v>0.0</v>
      </c>
      <c r="AD186" s="89">
        <v>0.0</v>
      </c>
      <c r="AE186" s="89">
        <v>0.0</v>
      </c>
      <c r="AF186" s="89">
        <v>0.0</v>
      </c>
      <c r="AG186" s="89">
        <v>0.0</v>
      </c>
      <c r="AH186" s="89">
        <v>0.0</v>
      </c>
      <c r="AI186" s="89">
        <v>0.0</v>
      </c>
      <c r="AJ186" s="89">
        <v>0.0</v>
      </c>
      <c r="AK186" s="90">
        <v>0.0</v>
      </c>
      <c r="AL186" s="85"/>
      <c r="AM186" s="85">
        <f t="shared" si="6"/>
        <v>0</v>
      </c>
      <c r="AN186" s="86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v>172.0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89">
        <v>0.0</v>
      </c>
      <c r="Q187" s="89">
        <v>0.0</v>
      </c>
      <c r="R187" s="89">
        <v>0.0</v>
      </c>
      <c r="S187" s="89">
        <v>0.0</v>
      </c>
      <c r="T187" s="89">
        <v>0.0</v>
      </c>
      <c r="U187" s="89">
        <v>0.0</v>
      </c>
      <c r="V187" s="89">
        <v>0.0</v>
      </c>
      <c r="W187" s="89">
        <v>0.0</v>
      </c>
      <c r="X187" s="89">
        <v>0.0</v>
      </c>
      <c r="Y187" s="89">
        <v>0.0</v>
      </c>
      <c r="Z187" s="89">
        <v>0.0</v>
      </c>
      <c r="AA187" s="89">
        <v>0.0</v>
      </c>
      <c r="AB187" s="89">
        <v>0.0</v>
      </c>
      <c r="AC187" s="89">
        <v>0.0</v>
      </c>
      <c r="AD187" s="89">
        <v>0.0</v>
      </c>
      <c r="AE187" s="89">
        <v>0.0</v>
      </c>
      <c r="AF187" s="89">
        <v>0.0</v>
      </c>
      <c r="AG187" s="89">
        <v>0.0</v>
      </c>
      <c r="AH187" s="89">
        <v>0.0</v>
      </c>
      <c r="AI187" s="89">
        <v>0.0</v>
      </c>
      <c r="AJ187" s="89">
        <v>0.0</v>
      </c>
      <c r="AK187" s="90">
        <v>0.0</v>
      </c>
      <c r="AL187" s="85"/>
      <c r="AM187" s="85">
        <f t="shared" si="6"/>
        <v>0</v>
      </c>
      <c r="AN187" s="86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v>173.0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89">
        <v>0.0</v>
      </c>
      <c r="Q188" s="89">
        <v>0.0</v>
      </c>
      <c r="R188" s="89">
        <v>0.0</v>
      </c>
      <c r="S188" s="89">
        <v>0.0</v>
      </c>
      <c r="T188" s="89">
        <v>0.0</v>
      </c>
      <c r="U188" s="89">
        <v>0.0</v>
      </c>
      <c r="V188" s="89">
        <v>0.0</v>
      </c>
      <c r="W188" s="89">
        <v>0.0</v>
      </c>
      <c r="X188" s="89">
        <v>0.0</v>
      </c>
      <c r="Y188" s="89">
        <v>0.0</v>
      </c>
      <c r="Z188" s="89">
        <v>0.0</v>
      </c>
      <c r="AA188" s="89">
        <v>0.0</v>
      </c>
      <c r="AB188" s="89">
        <v>0.0</v>
      </c>
      <c r="AC188" s="89">
        <v>0.0</v>
      </c>
      <c r="AD188" s="89">
        <v>0.0</v>
      </c>
      <c r="AE188" s="89">
        <v>0.0</v>
      </c>
      <c r="AF188" s="89">
        <v>0.0</v>
      </c>
      <c r="AG188" s="89">
        <v>0.0</v>
      </c>
      <c r="AH188" s="89">
        <v>0.0</v>
      </c>
      <c r="AI188" s="89">
        <v>0.0</v>
      </c>
      <c r="AJ188" s="89">
        <v>0.0</v>
      </c>
      <c r="AK188" s="90">
        <v>0.0</v>
      </c>
      <c r="AL188" s="85"/>
      <c r="AM188" s="85">
        <f t="shared" si="6"/>
        <v>0</v>
      </c>
      <c r="AN188" s="86" t="str">
        <f t="shared" si="7"/>
        <v/>
      </c>
      <c r="AO188" s="13"/>
    </row>
    <row r="189" ht="33.0" customHeight="1">
      <c r="A189" s="94" t="str">
        <f>IFERROR(VLOOKUP(C189,'Product List'!$A$2:$C198,2,FALSE),"")</f>
        <v/>
      </c>
      <c r="B189" s="95" t="str">
        <f>IFERROR(VLOOKUP(C189,'Product List'!$A$2:$C198,3,FALSE),"")</f>
        <v/>
      </c>
      <c r="C189" s="95"/>
      <c r="D189" s="95"/>
      <c r="E189" s="76">
        <v>174.0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8500</v>
      </c>
      <c r="O189" s="96">
        <f t="shared" ref="O189:AK189" si="9">IF(SUM(O16:O188)&gt;0,$Y$8,0)</f>
        <v>500</v>
      </c>
      <c r="P189" s="96">
        <f t="shared" si="9"/>
        <v>500</v>
      </c>
      <c r="Q189" s="96">
        <f t="shared" si="9"/>
        <v>500</v>
      </c>
      <c r="R189" s="96">
        <f t="shared" si="9"/>
        <v>500</v>
      </c>
      <c r="S189" s="96">
        <f t="shared" si="9"/>
        <v>500</v>
      </c>
      <c r="T189" s="96">
        <f t="shared" si="9"/>
        <v>500</v>
      </c>
      <c r="U189" s="96">
        <f t="shared" si="9"/>
        <v>500</v>
      </c>
      <c r="V189" s="96">
        <f t="shared" si="9"/>
        <v>0</v>
      </c>
      <c r="W189" s="96">
        <f t="shared" si="9"/>
        <v>0</v>
      </c>
      <c r="X189" s="96">
        <f t="shared" si="9"/>
        <v>0</v>
      </c>
      <c r="Y189" s="96">
        <f t="shared" si="9"/>
        <v>0</v>
      </c>
      <c r="Z189" s="96">
        <f t="shared" si="9"/>
        <v>0</v>
      </c>
      <c r="AA189" s="96">
        <f t="shared" si="9"/>
        <v>0</v>
      </c>
      <c r="AB189" s="96">
        <f t="shared" si="9"/>
        <v>0</v>
      </c>
      <c r="AC189" s="96">
        <f t="shared" si="9"/>
        <v>0</v>
      </c>
      <c r="AD189" s="96">
        <f t="shared" si="9"/>
        <v>0</v>
      </c>
      <c r="AE189" s="96">
        <f t="shared" si="9"/>
        <v>0</v>
      </c>
      <c r="AF189" s="96">
        <f t="shared" si="9"/>
        <v>0</v>
      </c>
      <c r="AG189" s="96">
        <f t="shared" si="9"/>
        <v>0</v>
      </c>
      <c r="AH189" s="96">
        <f t="shared" si="9"/>
        <v>0</v>
      </c>
      <c r="AI189" s="96">
        <f t="shared" si="9"/>
        <v>0</v>
      </c>
      <c r="AJ189" s="96">
        <f t="shared" si="9"/>
        <v>0</v>
      </c>
      <c r="AK189" s="96">
        <f t="shared" si="9"/>
        <v>0</v>
      </c>
      <c r="AL189" s="85"/>
      <c r="AM189" s="85">
        <f t="shared" si="6"/>
        <v>3500</v>
      </c>
      <c r="AN189" s="86">
        <f t="shared" si="7"/>
        <v>0.2916666667</v>
      </c>
      <c r="AO189" s="13"/>
    </row>
    <row r="190" ht="45.75" customHeight="1">
      <c r="A190" s="94" t="str">
        <f>IFERROR(VLOOKUP(C190,'Product List'!$A$2:$C198,2,FALSE),"")</f>
        <v/>
      </c>
      <c r="B190" s="95" t="str">
        <f>IFERROR(VLOOKUP(C190,'Product List'!$A$2:$C198,3,FALSE),"")</f>
        <v/>
      </c>
      <c r="C190" s="95"/>
      <c r="D190" s="95"/>
      <c r="E190" s="76">
        <v>175.0</v>
      </c>
      <c r="F190" s="97" t="s">
        <v>427</v>
      </c>
      <c r="G190" s="98">
        <f t="shared" ref="G190:L190" si="10">SUM(G16:G189)</f>
        <v>16921419.26</v>
      </c>
      <c r="H190" s="98">
        <f t="shared" si="10"/>
        <v>3021419.26</v>
      </c>
      <c r="I190" s="98">
        <f t="shared" si="10"/>
        <v>13900000</v>
      </c>
      <c r="J190" s="99">
        <f t="shared" si="10"/>
        <v>0</v>
      </c>
      <c r="K190" s="99">
        <f t="shared" si="10"/>
        <v>13900000</v>
      </c>
      <c r="L190" s="100">
        <f t="shared" si="10"/>
        <v>1</v>
      </c>
      <c r="M190" s="99">
        <f t="shared" si="4"/>
        <v>169.0442312</v>
      </c>
      <c r="N190" s="99">
        <f t="shared" ref="N190:AM190" si="11">SUM(N16:N189)</f>
        <v>10036262.75</v>
      </c>
      <c r="O190" s="101">
        <f t="shared" si="11"/>
        <v>665588.165</v>
      </c>
      <c r="P190" s="101">
        <f t="shared" si="11"/>
        <v>911597.99</v>
      </c>
      <c r="Q190" s="101">
        <f t="shared" si="11"/>
        <v>705005</v>
      </c>
      <c r="R190" s="101">
        <f t="shared" si="11"/>
        <v>427922.2545</v>
      </c>
      <c r="S190" s="101">
        <f t="shared" si="11"/>
        <v>62332.54</v>
      </c>
      <c r="T190" s="101">
        <f t="shared" si="11"/>
        <v>464871.72</v>
      </c>
      <c r="U190" s="101">
        <f t="shared" si="11"/>
        <v>448150.74</v>
      </c>
      <c r="V190" s="101">
        <f t="shared" si="11"/>
        <v>0</v>
      </c>
      <c r="W190" s="101">
        <f t="shared" si="11"/>
        <v>0</v>
      </c>
      <c r="X190" s="101">
        <f t="shared" si="11"/>
        <v>0</v>
      </c>
      <c r="Y190" s="101">
        <f t="shared" si="11"/>
        <v>0</v>
      </c>
      <c r="Z190" s="101">
        <f t="shared" si="11"/>
        <v>0</v>
      </c>
      <c r="AA190" s="101">
        <f t="shared" si="11"/>
        <v>0</v>
      </c>
      <c r="AB190" s="101">
        <f t="shared" si="11"/>
        <v>0</v>
      </c>
      <c r="AC190" s="101">
        <f t="shared" si="11"/>
        <v>0</v>
      </c>
      <c r="AD190" s="101">
        <f t="shared" si="11"/>
        <v>0</v>
      </c>
      <c r="AE190" s="101">
        <f t="shared" si="11"/>
        <v>0</v>
      </c>
      <c r="AF190" s="101">
        <f t="shared" si="11"/>
        <v>0</v>
      </c>
      <c r="AG190" s="101">
        <f t="shared" si="11"/>
        <v>0</v>
      </c>
      <c r="AH190" s="101">
        <f t="shared" si="11"/>
        <v>0</v>
      </c>
      <c r="AI190" s="101">
        <f t="shared" si="11"/>
        <v>0</v>
      </c>
      <c r="AJ190" s="101">
        <f t="shared" si="11"/>
        <v>0</v>
      </c>
      <c r="AK190" s="101">
        <f t="shared" si="11"/>
        <v>0</v>
      </c>
      <c r="AL190" s="99">
        <f t="shared" si="11"/>
        <v>178268.84</v>
      </c>
      <c r="AM190" s="99">
        <f t="shared" si="11"/>
        <v>3863737.25</v>
      </c>
      <c r="AN190" s="100">
        <f t="shared" si="7"/>
        <v>0.2651416122</v>
      </c>
      <c r="AO190" s="13"/>
    </row>
    <row r="191" ht="45.75" customHeight="1">
      <c r="A191" s="94" t="str">
        <f>IFERROR(VLOOKUP(C191,'Product List'!$A$2:$C198,2,FALSE),"")</f>
        <v/>
      </c>
      <c r="B191" s="95" t="str">
        <f>IFERROR(VLOOKUP(C191,'Product List'!$A$2:$C198,3,FALSE),"")</f>
        <v/>
      </c>
      <c r="C191" s="95"/>
      <c r="D191" s="95"/>
      <c r="E191" s="76">
        <v>177.0</v>
      </c>
      <c r="F191" s="97" t="s">
        <v>428</v>
      </c>
      <c r="G191" s="102">
        <f>G190*Y7</f>
        <v>16921419.26</v>
      </c>
      <c r="H191" s="97"/>
      <c r="I191" s="98">
        <f>I190*Y7</f>
        <v>13900000</v>
      </c>
      <c r="J191" s="103"/>
      <c r="K191" s="99">
        <f>K190*Y7</f>
        <v>13900000</v>
      </c>
      <c r="L191" s="104">
        <f>+K191/$K$190</f>
        <v>1</v>
      </c>
      <c r="M191" s="103" t="str">
        <f>+K191/$P$8</f>
        <v>#DIV/0!</v>
      </c>
      <c r="N191" s="99">
        <f>N190*Y7</f>
        <v>10036262.75</v>
      </c>
      <c r="O191" s="99">
        <f t="shared" ref="O191:AK191" si="12">O190*$Y$7</f>
        <v>665588.165</v>
      </c>
      <c r="P191" s="99">
        <f t="shared" si="12"/>
        <v>911597.99</v>
      </c>
      <c r="Q191" s="99">
        <f t="shared" si="12"/>
        <v>705005</v>
      </c>
      <c r="R191" s="99">
        <f t="shared" si="12"/>
        <v>427922.2545</v>
      </c>
      <c r="S191" s="99">
        <f t="shared" si="12"/>
        <v>62332.54</v>
      </c>
      <c r="T191" s="99">
        <f t="shared" si="12"/>
        <v>464871.72</v>
      </c>
      <c r="U191" s="99">
        <f t="shared" si="12"/>
        <v>448150.74</v>
      </c>
      <c r="V191" s="99">
        <f t="shared" si="12"/>
        <v>0</v>
      </c>
      <c r="W191" s="99">
        <f t="shared" si="12"/>
        <v>0</v>
      </c>
      <c r="X191" s="99">
        <f t="shared" si="12"/>
        <v>0</v>
      </c>
      <c r="Y191" s="99">
        <f t="shared" si="12"/>
        <v>0</v>
      </c>
      <c r="Z191" s="99">
        <f t="shared" si="12"/>
        <v>0</v>
      </c>
      <c r="AA191" s="99">
        <f t="shared" si="12"/>
        <v>0</v>
      </c>
      <c r="AB191" s="99">
        <f t="shared" si="12"/>
        <v>0</v>
      </c>
      <c r="AC191" s="99">
        <f t="shared" si="12"/>
        <v>0</v>
      </c>
      <c r="AD191" s="99">
        <f t="shared" si="12"/>
        <v>0</v>
      </c>
      <c r="AE191" s="99">
        <f t="shared" si="12"/>
        <v>0</v>
      </c>
      <c r="AF191" s="99">
        <f t="shared" si="12"/>
        <v>0</v>
      </c>
      <c r="AG191" s="99">
        <f t="shared" si="12"/>
        <v>0</v>
      </c>
      <c r="AH191" s="99">
        <f t="shared" si="12"/>
        <v>0</v>
      </c>
      <c r="AI191" s="99">
        <f t="shared" si="12"/>
        <v>0</v>
      </c>
      <c r="AJ191" s="99">
        <f t="shared" si="12"/>
        <v>0</v>
      </c>
      <c r="AK191" s="99">
        <f t="shared" si="12"/>
        <v>0</v>
      </c>
      <c r="AL191" s="105">
        <v>0.0</v>
      </c>
      <c r="AM191" s="99">
        <v>0.0</v>
      </c>
      <c r="AN191" s="100" t="str">
        <f>SUM(AN190-#REF!)</f>
        <v>#REF!</v>
      </c>
      <c r="AO191" s="13"/>
    </row>
    <row r="192" ht="45.75" customHeight="1">
      <c r="A192" s="94" t="str">
        <f>IFERROR(VLOOKUP(C192,'Product List'!$A$2:$C198,2,FALSE),"")</f>
        <v/>
      </c>
      <c r="B192" s="95" t="str">
        <f>IFERROR(VLOOKUP(C192,'Product List'!$A$2:$C198,3,FALSE),"")</f>
        <v/>
      </c>
      <c r="C192" s="95"/>
      <c r="D192" s="95"/>
      <c r="E192" s="76">
        <v>180.0</v>
      </c>
      <c r="F192" s="97" t="s">
        <v>429</v>
      </c>
      <c r="G192" s="106">
        <f t="shared" ref="G192:I192" si="13">+G190-G191</f>
        <v>0</v>
      </c>
      <c r="H192" s="106">
        <f t="shared" si="13"/>
        <v>3021419.26</v>
      </c>
      <c r="I192" s="106">
        <f t="shared" si="13"/>
        <v>0</v>
      </c>
      <c r="J192" s="107"/>
      <c r="K192" s="106">
        <f>+K190-K191</f>
        <v>0</v>
      </c>
      <c r="L192" s="100">
        <f>SUM(L190-L191)</f>
        <v>0</v>
      </c>
      <c r="M192" s="103"/>
      <c r="N192" s="99">
        <f t="shared" ref="N192:AM192" si="14">N190-N191</f>
        <v>0</v>
      </c>
      <c r="O192" s="99">
        <f t="shared" si="14"/>
        <v>0</v>
      </c>
      <c r="P192" s="99">
        <f t="shared" si="14"/>
        <v>0</v>
      </c>
      <c r="Q192" s="99">
        <f t="shared" si="14"/>
        <v>0</v>
      </c>
      <c r="R192" s="99">
        <f t="shared" si="14"/>
        <v>0</v>
      </c>
      <c r="S192" s="99">
        <f t="shared" si="14"/>
        <v>0</v>
      </c>
      <c r="T192" s="99">
        <f t="shared" si="14"/>
        <v>0</v>
      </c>
      <c r="U192" s="99">
        <f t="shared" si="14"/>
        <v>0</v>
      </c>
      <c r="V192" s="99">
        <f t="shared" si="14"/>
        <v>0</v>
      </c>
      <c r="W192" s="99">
        <f t="shared" si="14"/>
        <v>0</v>
      </c>
      <c r="X192" s="99">
        <f t="shared" si="14"/>
        <v>0</v>
      </c>
      <c r="Y192" s="99">
        <f t="shared" si="14"/>
        <v>0</v>
      </c>
      <c r="Z192" s="99">
        <f t="shared" si="14"/>
        <v>0</v>
      </c>
      <c r="AA192" s="99">
        <f t="shared" si="14"/>
        <v>0</v>
      </c>
      <c r="AB192" s="99">
        <f t="shared" si="14"/>
        <v>0</v>
      </c>
      <c r="AC192" s="99">
        <f t="shared" si="14"/>
        <v>0</v>
      </c>
      <c r="AD192" s="99">
        <f t="shared" si="14"/>
        <v>0</v>
      </c>
      <c r="AE192" s="99">
        <f t="shared" si="14"/>
        <v>0</v>
      </c>
      <c r="AF192" s="99">
        <f t="shared" si="14"/>
        <v>0</v>
      </c>
      <c r="AG192" s="99">
        <f t="shared" si="14"/>
        <v>0</v>
      </c>
      <c r="AH192" s="99">
        <f t="shared" si="14"/>
        <v>0</v>
      </c>
      <c r="AI192" s="99">
        <f t="shared" si="14"/>
        <v>0</v>
      </c>
      <c r="AJ192" s="99">
        <f t="shared" si="14"/>
        <v>0</v>
      </c>
      <c r="AK192" s="99">
        <f t="shared" si="14"/>
        <v>0</v>
      </c>
      <c r="AL192" s="99">
        <f t="shared" si="14"/>
        <v>178268.84</v>
      </c>
      <c r="AM192" s="99">
        <f t="shared" si="14"/>
        <v>3863737.25</v>
      </c>
      <c r="AN192" s="97"/>
      <c r="AO192" s="13"/>
    </row>
    <row r="193" ht="15.75" customHeight="1">
      <c r="A193" s="94" t="str">
        <f>IFERROR(VLOOKUP(C193,'Product List'!$A$2:$C198,2,FALSE),"")</f>
        <v/>
      </c>
      <c r="B193" s="95" t="str">
        <f>IFERROR(VLOOKUP(C193,'Product List'!$A$2:$C198,3,FALSE),"")</f>
        <v/>
      </c>
      <c r="C193" s="95"/>
      <c r="D193" s="95"/>
    </row>
    <row r="194" ht="15.75" customHeight="1">
      <c r="A194" s="94" t="str">
        <f>IFERROR(VLOOKUP(C194,'Product List'!$A$2:$C198,2,FALSE),"")</f>
        <v/>
      </c>
      <c r="B194" s="95" t="str">
        <f>IFERROR(VLOOKUP(C194,'Product List'!$A$2:$C198,3,FALSE),"")</f>
        <v/>
      </c>
      <c r="C194" s="95"/>
      <c r="D194" s="95"/>
    </row>
    <row r="195" ht="15.75" customHeight="1">
      <c r="A195" s="94" t="str">
        <f>IFERROR(VLOOKUP(C195,'Product List'!$A$2:$C198,2,FALSE),"")</f>
        <v/>
      </c>
      <c r="B195" s="95" t="str">
        <f>IFERROR(VLOOKUP(C195,'Product List'!$A$2:$C198,3,FALSE),"")</f>
        <v/>
      </c>
      <c r="C195" s="95"/>
      <c r="D195" s="9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